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cas\everyday-objects-sensing\docs\testing\"/>
    </mc:Choice>
  </mc:AlternateContent>
  <xr:revisionPtr revIDLastSave="0" documentId="13_ncr:1_{E72405FC-635C-4B7F-9795-344298DF189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Overview" sheetId="1" r:id="rId1"/>
    <sheet name="Trials" sheetId="2" r:id="rId2"/>
    <sheet name="How to use" sheetId="3" r:id="rId3"/>
  </sheets>
  <definedNames>
    <definedName name="_xlnm._FilterDatabase" localSheetId="1" hidden="1">Trials!$A$1:$L$97</definedName>
    <definedName name="_xlnm.Print_Titles" localSheetId="1">Trials!$1:$1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2" l="1"/>
  <c r="G97" i="2"/>
  <c r="L97" i="2" s="1"/>
  <c r="I96" i="2"/>
  <c r="G96" i="2"/>
  <c r="L96" i="2" s="1"/>
  <c r="I95" i="2"/>
  <c r="G95" i="2"/>
  <c r="L95" i="2" s="1"/>
  <c r="L94" i="2"/>
  <c r="I94" i="2"/>
  <c r="I93" i="2"/>
  <c r="G93" i="2"/>
  <c r="L93" i="2" s="1"/>
  <c r="I92" i="2"/>
  <c r="G92" i="2"/>
  <c r="L92" i="2" s="1"/>
  <c r="I91" i="2"/>
  <c r="G91" i="2"/>
  <c r="L91" i="2" s="1"/>
  <c r="L90" i="2"/>
  <c r="I90" i="2"/>
  <c r="I89" i="2"/>
  <c r="G89" i="2"/>
  <c r="L89" i="2" s="1"/>
  <c r="I13" i="1" s="1"/>
  <c r="I88" i="2"/>
  <c r="G88" i="2"/>
  <c r="L88" i="2" s="1"/>
  <c r="H13" i="1" s="1"/>
  <c r="I87" i="2"/>
  <c r="G87" i="2"/>
  <c r="L87" i="2" s="1"/>
  <c r="G13" i="1" s="1"/>
  <c r="L86" i="2"/>
  <c r="I86" i="2"/>
  <c r="I85" i="2"/>
  <c r="G85" i="2"/>
  <c r="L85" i="2" s="1"/>
  <c r="I12" i="1" s="1"/>
  <c r="I84" i="2"/>
  <c r="G84" i="2"/>
  <c r="L84" i="2" s="1"/>
  <c r="H12" i="1" s="1"/>
  <c r="I83" i="2"/>
  <c r="G83" i="2"/>
  <c r="L83" i="2" s="1"/>
  <c r="L82" i="2"/>
  <c r="I82" i="2"/>
  <c r="I81" i="2"/>
  <c r="G81" i="2"/>
  <c r="L81" i="2" s="1"/>
  <c r="I80" i="2"/>
  <c r="G80" i="2"/>
  <c r="L80" i="2" s="1"/>
  <c r="I79" i="2"/>
  <c r="G79" i="2"/>
  <c r="L79" i="2" s="1"/>
  <c r="L78" i="2"/>
  <c r="I78" i="2"/>
  <c r="I77" i="2"/>
  <c r="G77" i="2"/>
  <c r="L77" i="2" s="1"/>
  <c r="I76" i="2"/>
  <c r="G76" i="2"/>
  <c r="L76" i="2" s="1"/>
  <c r="I75" i="2"/>
  <c r="G75" i="2"/>
  <c r="L75" i="2" s="1"/>
  <c r="L74" i="2"/>
  <c r="I74" i="2"/>
  <c r="I73" i="2"/>
  <c r="G73" i="2"/>
  <c r="L73" i="2" s="1"/>
  <c r="I72" i="2"/>
  <c r="G72" i="2"/>
  <c r="L72" i="2" s="1"/>
  <c r="I71" i="2"/>
  <c r="G71" i="2"/>
  <c r="L71" i="2" s="1"/>
  <c r="L70" i="2"/>
  <c r="I70" i="2"/>
  <c r="I69" i="2"/>
  <c r="G69" i="2"/>
  <c r="L69" i="2" s="1"/>
  <c r="I68" i="2"/>
  <c r="G68" i="2"/>
  <c r="L68" i="2" s="1"/>
  <c r="I67" i="2"/>
  <c r="G67" i="2"/>
  <c r="L67" i="2" s="1"/>
  <c r="L66" i="2"/>
  <c r="I66" i="2"/>
  <c r="I65" i="2"/>
  <c r="G65" i="2"/>
  <c r="L65" i="2" s="1"/>
  <c r="I64" i="2"/>
  <c r="G64" i="2"/>
  <c r="L64" i="2" s="1"/>
  <c r="I63" i="2"/>
  <c r="G63" i="2"/>
  <c r="L63" i="2" s="1"/>
  <c r="L62" i="2"/>
  <c r="I62" i="2"/>
  <c r="I61" i="2"/>
  <c r="G61" i="2"/>
  <c r="L61" i="2" s="1"/>
  <c r="I60" i="2"/>
  <c r="G60" i="2"/>
  <c r="L60" i="2" s="1"/>
  <c r="I59" i="2"/>
  <c r="G59" i="2"/>
  <c r="L59" i="2" s="1"/>
  <c r="L58" i="2"/>
  <c r="I58" i="2"/>
  <c r="I57" i="2"/>
  <c r="G57" i="2"/>
  <c r="L57" i="2" s="1"/>
  <c r="I11" i="1" s="1"/>
  <c r="I56" i="2"/>
  <c r="G56" i="2"/>
  <c r="L56" i="2" s="1"/>
  <c r="H11" i="1" s="1"/>
  <c r="I55" i="2"/>
  <c r="G55" i="2"/>
  <c r="L55" i="2" s="1"/>
  <c r="G11" i="1" s="1"/>
  <c r="L54" i="2"/>
  <c r="I54" i="2"/>
  <c r="I53" i="2"/>
  <c r="G53" i="2"/>
  <c r="L53" i="2" s="1"/>
  <c r="I52" i="2"/>
  <c r="G52" i="2"/>
  <c r="L52" i="2" s="1"/>
  <c r="H10" i="1" s="1"/>
  <c r="I51" i="2"/>
  <c r="G51" i="2"/>
  <c r="L51" i="2" s="1"/>
  <c r="G10" i="1" s="1"/>
  <c r="L50" i="2"/>
  <c r="I50" i="2"/>
  <c r="I49" i="2"/>
  <c r="G49" i="2"/>
  <c r="L49" i="2" s="1"/>
  <c r="I48" i="2"/>
  <c r="G48" i="2"/>
  <c r="L48" i="2" s="1"/>
  <c r="I47" i="2"/>
  <c r="G47" i="2"/>
  <c r="L47" i="2" s="1"/>
  <c r="L46" i="2"/>
  <c r="I46" i="2"/>
  <c r="I45" i="2"/>
  <c r="G45" i="2"/>
  <c r="L45" i="2" s="1"/>
  <c r="I44" i="2"/>
  <c r="G44" i="2"/>
  <c r="L44" i="2" s="1"/>
  <c r="I43" i="2"/>
  <c r="G43" i="2"/>
  <c r="L43" i="2" s="1"/>
  <c r="L42" i="2"/>
  <c r="I42" i="2"/>
  <c r="I41" i="2"/>
  <c r="G41" i="2"/>
  <c r="L41" i="2" s="1"/>
  <c r="I40" i="2"/>
  <c r="G40" i="2"/>
  <c r="L40" i="2" s="1"/>
  <c r="I39" i="2"/>
  <c r="G39" i="2"/>
  <c r="L39" i="2" s="1"/>
  <c r="L38" i="2"/>
  <c r="I38" i="2"/>
  <c r="I37" i="2"/>
  <c r="G37" i="2"/>
  <c r="L37" i="2" s="1"/>
  <c r="I36" i="2"/>
  <c r="G36" i="2"/>
  <c r="L36" i="2" s="1"/>
  <c r="I35" i="2"/>
  <c r="G35" i="2"/>
  <c r="L35" i="2" s="1"/>
  <c r="L34" i="2"/>
  <c r="I34" i="2"/>
  <c r="I33" i="2"/>
  <c r="G33" i="2"/>
  <c r="L33" i="2" s="1"/>
  <c r="I32" i="2"/>
  <c r="G32" i="2"/>
  <c r="L32" i="2" s="1"/>
  <c r="I31" i="2"/>
  <c r="G31" i="2"/>
  <c r="L31" i="2" s="1"/>
  <c r="G9" i="1" s="1"/>
  <c r="L30" i="2"/>
  <c r="I30" i="2"/>
  <c r="I29" i="2"/>
  <c r="G29" i="2"/>
  <c r="L29" i="2" s="1"/>
  <c r="I28" i="2"/>
  <c r="G28" i="2"/>
  <c r="L28" i="2" s="1"/>
  <c r="I27" i="2"/>
  <c r="G27" i="2"/>
  <c r="L27" i="2" s="1"/>
  <c r="L26" i="2"/>
  <c r="I26" i="2"/>
  <c r="I25" i="2"/>
  <c r="G25" i="2"/>
  <c r="L25" i="2" s="1"/>
  <c r="I24" i="2"/>
  <c r="G24" i="2"/>
  <c r="L24" i="2" s="1"/>
  <c r="I23" i="2"/>
  <c r="G23" i="2"/>
  <c r="L23" i="2" s="1"/>
  <c r="L22" i="2"/>
  <c r="I22" i="2"/>
  <c r="I21" i="2"/>
  <c r="G21" i="2"/>
  <c r="L21" i="2" s="1"/>
  <c r="I20" i="2"/>
  <c r="G20" i="2"/>
  <c r="L20" i="2" s="1"/>
  <c r="I19" i="2"/>
  <c r="G19" i="2"/>
  <c r="L19" i="2" s="1"/>
  <c r="L18" i="2"/>
  <c r="I18" i="2"/>
  <c r="I17" i="2"/>
  <c r="G17" i="2"/>
  <c r="L17" i="2" s="1"/>
  <c r="I16" i="2"/>
  <c r="G16" i="2"/>
  <c r="L16" i="2" s="1"/>
  <c r="I15" i="2"/>
  <c r="G15" i="2"/>
  <c r="L15" i="2" s="1"/>
  <c r="L14" i="2"/>
  <c r="I14" i="2"/>
  <c r="I13" i="2"/>
  <c r="G13" i="2"/>
  <c r="L13" i="2" s="1"/>
  <c r="E8" i="1" s="1"/>
  <c r="I12" i="2"/>
  <c r="G12" i="2"/>
  <c r="L12" i="2" s="1"/>
  <c r="I11" i="2"/>
  <c r="G11" i="2"/>
  <c r="L11" i="2" s="1"/>
  <c r="L10" i="2"/>
  <c r="I10" i="2"/>
  <c r="I9" i="2"/>
  <c r="G9" i="2"/>
  <c r="L9" i="2" s="1"/>
  <c r="I8" i="2"/>
  <c r="G8" i="2"/>
  <c r="L8" i="2" s="1"/>
  <c r="I7" i="2"/>
  <c r="G7" i="2"/>
  <c r="L7" i="2" s="1"/>
  <c r="L6" i="2"/>
  <c r="I6" i="2"/>
  <c r="L5" i="2"/>
  <c r="I5" i="2"/>
  <c r="G5" i="2"/>
  <c r="I4" i="2"/>
  <c r="G4" i="2"/>
  <c r="L4" i="2" s="1"/>
  <c r="I3" i="2"/>
  <c r="G3" i="2"/>
  <c r="L3" i="2" s="1"/>
  <c r="L2" i="2"/>
  <c r="I2" i="2"/>
  <c r="J14" i="1"/>
  <c r="F14" i="1"/>
  <c r="J13" i="1"/>
  <c r="F13" i="1"/>
  <c r="J12" i="1"/>
  <c r="F12" i="1"/>
  <c r="J11" i="1"/>
  <c r="F11" i="1"/>
  <c r="J10" i="1"/>
  <c r="F10" i="1"/>
  <c r="J9" i="1"/>
  <c r="F9" i="1"/>
  <c r="J8" i="1"/>
  <c r="F8" i="1"/>
  <c r="G12" i="1" l="1"/>
  <c r="D12" i="1"/>
  <c r="E13" i="1"/>
  <c r="I10" i="1"/>
  <c r="K13" i="1"/>
  <c r="C13" i="1"/>
  <c r="K12" i="1"/>
  <c r="C12" i="1"/>
  <c r="K11" i="1"/>
  <c r="C11" i="1"/>
  <c r="K10" i="1"/>
  <c r="C10" i="1"/>
  <c r="I8" i="1"/>
  <c r="I14" i="1"/>
  <c r="H14" i="1"/>
  <c r="H8" i="1"/>
  <c r="G8" i="1"/>
  <c r="G14" i="1"/>
  <c r="E9" i="1"/>
  <c r="E14" i="1"/>
  <c r="K9" i="1"/>
  <c r="C9" i="1"/>
  <c r="D8" i="1"/>
  <c r="D14" i="1"/>
  <c r="K14" i="1"/>
  <c r="K8" i="1"/>
  <c r="C8" i="1"/>
  <c r="C14" i="1"/>
  <c r="D13" i="1"/>
  <c r="E12" i="1"/>
  <c r="E11" i="1"/>
  <c r="D11" i="1"/>
  <c r="E10" i="1"/>
  <c r="D10" i="1"/>
  <c r="I9" i="1"/>
  <c r="H9" i="1"/>
  <c r="D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matrix</author>
  </authors>
  <commentList>
    <comment ref="H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Number of good trials recorded (invalid trials that were repeated count once). For noise baseline rows, 1 when the 60 s baseline is recorded.</t>
        </r>
      </text>
    </comment>
    <comment ref="L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Done, capped at Planned. Feeds the Overview grid. Do not edit.</t>
        </r>
      </text>
    </comment>
  </commentList>
</comments>
</file>

<file path=xl/sharedStrings.xml><?xml version="1.0" encoding="utf-8"?>
<sst xmlns="http://schemas.openxmlformats.org/spreadsheetml/2006/main" count="555" uniqueCount="62">
  <si>
    <t>Floor test matrix: bare against enclosed</t>
  </si>
  <si>
    <t>Share of planned trials done for each floor, condition, day and radius. Fill in the yellow Done column on the Trials sheet; this grid updates itself.</t>
  </si>
  <si>
    <t>Drops per radius per block</t>
  </si>
  <si>
    <t>5 per the procedure (section 1); 3 when short on time.</t>
  </si>
  <si>
    <t>Floor</t>
  </si>
  <si>
    <t>Condition</t>
  </si>
  <si>
    <t>Day 1</t>
  </si>
  <si>
    <t>Day 2</t>
  </si>
  <si>
    <t>All</t>
  </si>
  <si>
    <t>1 m</t>
  </si>
  <si>
    <t>2 m</t>
  </si>
  <si>
    <t>3 m</t>
  </si>
  <si>
    <t>Noise baselines</t>
  </si>
  <si>
    <t>tile</t>
  </si>
  <si>
    <t>Bare</t>
  </si>
  <si>
    <t>Enclosed</t>
  </si>
  <si>
    <t>wood</t>
  </si>
  <si>
    <t>carpet</t>
  </si>
  <si>
    <t>All floors</t>
  </si>
  <si>
    <t>Every planned trial done</t>
  </si>
  <si>
    <t>Started, not finished</t>
  </si>
  <si>
    <t>Not started</t>
  </si>
  <si>
    <t>Each grid cell covers both blocks of that condition (blocks 1 and 3 bare, 2 and 4 enclosed), so 100% at a radius is 2 × the drops per block.</t>
  </si>
  <si>
    <t>Noise baselines: one 60 s baseline per block, so 2 per condition per day.</t>
  </si>
  <si>
    <t>Day 2 repeats the same plan on the same floor on a different day and at a different time of day.</t>
  </si>
  <si>
    <t>The procedure is docs/testing/floor_procedure.md.</t>
  </si>
  <si>
    <t>Day</t>
  </si>
  <si>
    <t>Block</t>
  </si>
  <si>
    <t>ID prefix</t>
  </si>
  <si>
    <t>Radius</t>
  </si>
  <si>
    <t>Planned</t>
  </si>
  <si>
    <t>Done</t>
  </si>
  <si>
    <t>Status</t>
  </si>
  <si>
    <t>Date done</t>
  </si>
  <si>
    <t>Notes</t>
  </si>
  <si>
    <t>Counted (auto)</t>
  </si>
  <si>
    <t>tile_bare_1</t>
  </si>
  <si>
    <t>Noise baseline</t>
  </si>
  <si>
    <t>tile_vase_1</t>
  </si>
  <si>
    <t>tile_bare_2</t>
  </si>
  <si>
    <t>tile_vase_2</t>
  </si>
  <si>
    <t>wood_bare_1</t>
  </si>
  <si>
    <t>wood_vase_1</t>
  </si>
  <si>
    <t>wood_bare_2</t>
  </si>
  <si>
    <t>wood_vase_2</t>
  </si>
  <si>
    <t>carpet_bare_1</t>
  </si>
  <si>
    <t>carpet_vase_1</t>
  </si>
  <si>
    <t>carpet_bare_2</t>
  </si>
  <si>
    <t>carpet_vase_2</t>
  </si>
  <si>
    <t>How to use this matrix</t>
  </si>
  <si>
    <t>Edit only the yellow cells.</t>
  </si>
  <si>
    <t>Trials sheet: Done (number of good trials), Date done, Notes.</t>
  </si>
  <si>
    <t>Overview sheet: Drops per radius per block (C4), if you run 3 drops instead of 5.</t>
  </si>
  <si>
    <t>Everything else is a label or a formula.</t>
  </si>
  <si>
    <t>One row per block and radius. Each block starts with its noise baseline row, then 1, 2 and 3 m.</t>
  </si>
  <si>
    <t>Shuffle the radius order inside each block when you run it (procedure section 1); the row order here is only for the checklist.</t>
  </si>
  <si>
    <t>A trial marked invalid and repeated counts once. Write the reason in Notes.</t>
  </si>
  <si>
    <t>Filter the Trials sheet by Floor, Day or Status to see what is left.</t>
  </si>
  <si>
    <t>Example of a filled-in row (not counted anywhere):</t>
  </si>
  <si>
    <t>Partial</t>
  </si>
  <si>
    <t>2026-10-22</t>
  </si>
  <si>
    <t>drop 3 repeated (ball rolled); one left 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</si>
</sst>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9"/>
      <color rgb="FF808080"/>
      <name val="Arial"/>
    </font>
    <font>
      <b/>
      <sz val="14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0" fillId="6" borderId="1" xfId="0" applyFill="1" applyBorder="1"/>
    <xf numFmtId="0" fontId="2" fillId="0" borderId="0" xfId="0" applyFont="1"/>
    <xf numFmtId="0" fontId="0" fillId="7" borderId="1" xfId="0" applyFill="1" applyBorder="1"/>
    <xf numFmtId="0" fontId="0" fillId="8" borderId="1" xfId="0" applyFill="1" applyBorder="1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5"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3"/>
  <sheetViews>
    <sheetView tabSelected="1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2" width="12" customWidth="1"/>
    <col min="3" max="11" width="11" customWidth="1"/>
  </cols>
  <sheetData>
    <row r="1" spans="1:11" ht="18" x14ac:dyDescent="0.4">
      <c r="A1" s="1" t="s">
        <v>0</v>
      </c>
    </row>
    <row r="2" spans="1:11" ht="28" customHeight="1" x14ac:dyDescent="0.35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spans="1:11" x14ac:dyDescent="0.35">
      <c r="A4" s="21" t="s">
        <v>2</v>
      </c>
      <c r="B4" s="22"/>
      <c r="C4" s="2">
        <v>5</v>
      </c>
      <c r="D4" s="3" t="s">
        <v>3</v>
      </c>
    </row>
    <row r="6" spans="1:11" x14ac:dyDescent="0.35">
      <c r="A6" s="20" t="s">
        <v>4</v>
      </c>
      <c r="B6" s="20" t="s">
        <v>5</v>
      </c>
      <c r="C6" s="20" t="s">
        <v>6</v>
      </c>
      <c r="D6" s="20"/>
      <c r="E6" s="20"/>
      <c r="F6" s="20"/>
      <c r="G6" s="20" t="s">
        <v>7</v>
      </c>
      <c r="H6" s="20"/>
      <c r="I6" s="20"/>
      <c r="J6" s="20"/>
      <c r="K6" s="20" t="s">
        <v>8</v>
      </c>
    </row>
    <row r="7" spans="1:11" ht="26" x14ac:dyDescent="0.35">
      <c r="A7" s="20"/>
      <c r="B7" s="20"/>
      <c r="C7" s="4" t="s">
        <v>9</v>
      </c>
      <c r="D7" s="4" t="s">
        <v>10</v>
      </c>
      <c r="E7" s="4" t="s">
        <v>11</v>
      </c>
      <c r="F7" s="4" t="s">
        <v>12</v>
      </c>
      <c r="G7" s="4" t="s">
        <v>9</v>
      </c>
      <c r="H7" s="4" t="s">
        <v>10</v>
      </c>
      <c r="I7" s="4" t="s">
        <v>11</v>
      </c>
      <c r="J7" s="4" t="s">
        <v>12</v>
      </c>
      <c r="K7" s="20"/>
    </row>
    <row r="8" spans="1:11" ht="22" customHeight="1" x14ac:dyDescent="0.35">
      <c r="A8" s="19" t="s">
        <v>13</v>
      </c>
      <c r="B8" s="5" t="s">
        <v>14</v>
      </c>
      <c r="C8" s="6">
        <f>IFERROR(SUMIFS(Trials!$L$2:$L$97,Trials!$A$2:$A$97,"tile",Trials!$B$2:$B$97,"Day 1",Trials!$D$2:$D$97,$B8,Trials!$F$2:$F$97,"1 m")/SUMIFS(Trials!$G$2:$G$97,Trials!$A$2:$A$97,"tile",Trials!$B$2:$B$97,"Day 1",Trials!$D$2:$D$97,$B8,Trials!$F$2:$F$97,"1 m"),0)</f>
        <v>0</v>
      </c>
      <c r="D8" s="6">
        <f>IFERROR(SUMIFS(Trials!$L$2:$L$97,Trials!$A$2:$A$97,"tile",Trials!$B$2:$B$97,"Day 1",Trials!$D$2:$D$97,$B8,Trials!$F$2:$F$97,"2 m")/SUMIFS(Trials!$G$2:$G$97,Trials!$A$2:$A$97,"tile",Trials!$B$2:$B$97,"Day 1",Trials!$D$2:$D$97,$B8,Trials!$F$2:$F$97,"2 m"),0)</f>
        <v>0</v>
      </c>
      <c r="E8" s="6">
        <f>IFERROR(SUMIFS(Trials!$L$2:$L$97,Trials!$A$2:$A$97,"tile",Trials!$B$2:$B$97,"Day 1",Trials!$D$2:$D$97,$B8,Trials!$F$2:$F$97,"3 m")/SUMIFS(Trials!$G$2:$G$97,Trials!$A$2:$A$97,"tile",Trials!$B$2:$B$97,"Day 1",Trials!$D$2:$D$97,$B8,Trials!$F$2:$F$97,"3 m"),0)</f>
        <v>0</v>
      </c>
      <c r="F8" s="6">
        <f>IFERROR(SUMIFS(Trials!$L$2:$L$97,Trials!$A$2:$A$97,"tile",Trials!$B$2:$B$97,"Day 1",Trials!$D$2:$D$97,$B8,Trials!$F$2:$F$97,"Noise baseline")/SUMIFS(Trials!$G$2:$G$97,Trials!$A$2:$A$97,"tile",Trials!$B$2:$B$97,"Day 1",Trials!$D$2:$D$97,$B8,Trials!$F$2:$F$97,"Noise baseline"),0)</f>
        <v>0</v>
      </c>
      <c r="G8" s="6">
        <f>IFERROR(SUMIFS(Trials!$L$2:$L$97,Trials!$A$2:$A$97,"tile",Trials!$B$2:$B$97,"Day 2",Trials!$D$2:$D$97,$B8,Trials!$F$2:$F$97,"1 m")/SUMIFS(Trials!$G$2:$G$97,Trials!$A$2:$A$97,"tile",Trials!$B$2:$B$97,"Day 2",Trials!$D$2:$D$97,$B8,Trials!$F$2:$F$97,"1 m"),0)</f>
        <v>0</v>
      </c>
      <c r="H8" s="6">
        <f>IFERROR(SUMIFS(Trials!$L$2:$L$97,Trials!$A$2:$A$97,"tile",Trials!$B$2:$B$97,"Day 2",Trials!$D$2:$D$97,$B8,Trials!$F$2:$F$97,"2 m")/SUMIFS(Trials!$G$2:$G$97,Trials!$A$2:$A$97,"tile",Trials!$B$2:$B$97,"Day 2",Trials!$D$2:$D$97,$B8,Trials!$F$2:$F$97,"2 m"),0)</f>
        <v>0</v>
      </c>
      <c r="I8" s="6">
        <f>IFERROR(SUMIFS(Trials!$L$2:$L$97,Trials!$A$2:$A$97,"tile",Trials!$B$2:$B$97,"Day 2",Trials!$D$2:$D$97,$B8,Trials!$F$2:$F$97,"3 m")/SUMIFS(Trials!$G$2:$G$97,Trials!$A$2:$A$97,"tile",Trials!$B$2:$B$97,"Day 2",Trials!$D$2:$D$97,$B8,Trials!$F$2:$F$97,"3 m"),0)</f>
        <v>0</v>
      </c>
      <c r="J8" s="6">
        <f>IFERROR(SUMIFS(Trials!$L$2:$L$97,Trials!$A$2:$A$97,"tile",Trials!$B$2:$B$97,"Day 2",Trials!$D$2:$D$97,$B8,Trials!$F$2:$F$97,"Noise baseline")/SUMIFS(Trials!$G$2:$G$97,Trials!$A$2:$A$97,"tile",Trials!$B$2:$B$97,"Day 2",Trials!$D$2:$D$97,$B8,Trials!$F$2:$F$97,"Noise baseline"),0)</f>
        <v>0</v>
      </c>
      <c r="K8" s="7">
        <f>IFERROR(SUMIFS(Trials!$L$2:$L$97,Trials!$A$2:$A$97,"tile",Trials!$D$2:$D$97,$B8)/SUMIFS(Trials!$G$2:$G$97,Trials!$A$2:$A$97,"tile",Trials!$D$2:$D$97,$B8),0)</f>
        <v>0</v>
      </c>
    </row>
    <row r="9" spans="1:11" ht="22" customHeight="1" x14ac:dyDescent="0.35">
      <c r="A9" s="19"/>
      <c r="B9" s="5" t="s">
        <v>15</v>
      </c>
      <c r="C9" s="6">
        <f>IFERROR(SUMIFS(Trials!$L$2:$L$97,Trials!$A$2:$A$97,"tile",Trials!$B$2:$B$97,"Day 1",Trials!$D$2:$D$97,$B9,Trials!$F$2:$F$97,"1 m")/SUMIFS(Trials!$G$2:$G$97,Trials!$A$2:$A$97,"tile",Trials!$B$2:$B$97,"Day 1",Trials!$D$2:$D$97,$B9,Trials!$F$2:$F$97,"1 m"),0)</f>
        <v>0</v>
      </c>
      <c r="D9" s="6">
        <f>IFERROR(SUMIFS(Trials!$L$2:$L$97,Trials!$A$2:$A$97,"tile",Trials!$B$2:$B$97,"Day 1",Trials!$D$2:$D$97,$B9,Trials!$F$2:$F$97,"2 m")/SUMIFS(Trials!$G$2:$G$97,Trials!$A$2:$A$97,"tile",Trials!$B$2:$B$97,"Day 1",Trials!$D$2:$D$97,$B9,Trials!$F$2:$F$97,"2 m"),0)</f>
        <v>0</v>
      </c>
      <c r="E9" s="6">
        <f>IFERROR(SUMIFS(Trials!$L$2:$L$97,Trials!$A$2:$A$97,"tile",Trials!$B$2:$B$97,"Day 1",Trials!$D$2:$D$97,$B9,Trials!$F$2:$F$97,"3 m")/SUMIFS(Trials!$G$2:$G$97,Trials!$A$2:$A$97,"tile",Trials!$B$2:$B$97,"Day 1",Trials!$D$2:$D$97,$B9,Trials!$F$2:$F$97,"3 m"),0)</f>
        <v>0</v>
      </c>
      <c r="F9" s="6">
        <f>IFERROR(SUMIFS(Trials!$L$2:$L$97,Trials!$A$2:$A$97,"tile",Trials!$B$2:$B$97,"Day 1",Trials!$D$2:$D$97,$B9,Trials!$F$2:$F$97,"Noise baseline")/SUMIFS(Trials!$G$2:$G$97,Trials!$A$2:$A$97,"tile",Trials!$B$2:$B$97,"Day 1",Trials!$D$2:$D$97,$B9,Trials!$F$2:$F$97,"Noise baseline"),0)</f>
        <v>0</v>
      </c>
      <c r="G9" s="6">
        <f>IFERROR(SUMIFS(Trials!$L$2:$L$97,Trials!$A$2:$A$97,"tile",Trials!$B$2:$B$97,"Day 2",Trials!$D$2:$D$97,$B9,Trials!$F$2:$F$97,"1 m")/SUMIFS(Trials!$G$2:$G$97,Trials!$A$2:$A$97,"tile",Trials!$B$2:$B$97,"Day 2",Trials!$D$2:$D$97,$B9,Trials!$F$2:$F$97,"1 m"),0)</f>
        <v>0</v>
      </c>
      <c r="H9" s="6">
        <f>IFERROR(SUMIFS(Trials!$L$2:$L$97,Trials!$A$2:$A$97,"tile",Trials!$B$2:$B$97,"Day 2",Trials!$D$2:$D$97,$B9,Trials!$F$2:$F$97,"2 m")/SUMIFS(Trials!$G$2:$G$97,Trials!$A$2:$A$97,"tile",Trials!$B$2:$B$97,"Day 2",Trials!$D$2:$D$97,$B9,Trials!$F$2:$F$97,"2 m"),0)</f>
        <v>0</v>
      </c>
      <c r="I9" s="6">
        <f>IFERROR(SUMIFS(Trials!$L$2:$L$97,Trials!$A$2:$A$97,"tile",Trials!$B$2:$B$97,"Day 2",Trials!$D$2:$D$97,$B9,Trials!$F$2:$F$97,"3 m")/SUMIFS(Trials!$G$2:$G$97,Trials!$A$2:$A$97,"tile",Trials!$B$2:$B$97,"Day 2",Trials!$D$2:$D$97,$B9,Trials!$F$2:$F$97,"3 m"),0)</f>
        <v>0</v>
      </c>
      <c r="J9" s="6">
        <f>IFERROR(SUMIFS(Trials!$L$2:$L$97,Trials!$A$2:$A$97,"tile",Trials!$B$2:$B$97,"Day 2",Trials!$D$2:$D$97,$B9,Trials!$F$2:$F$97,"Noise baseline")/SUMIFS(Trials!$G$2:$G$97,Trials!$A$2:$A$97,"tile",Trials!$B$2:$B$97,"Day 2",Trials!$D$2:$D$97,$B9,Trials!$F$2:$F$97,"Noise baseline"),0)</f>
        <v>0</v>
      </c>
      <c r="K9" s="7">
        <f>IFERROR(SUMIFS(Trials!$L$2:$L$97,Trials!$A$2:$A$97,"tile",Trials!$D$2:$D$97,$B9)/SUMIFS(Trials!$G$2:$G$97,Trials!$A$2:$A$97,"tile",Trials!$D$2:$D$97,$B9),0)</f>
        <v>0</v>
      </c>
    </row>
    <row r="10" spans="1:11" ht="22" customHeight="1" x14ac:dyDescent="0.35">
      <c r="A10" s="19" t="s">
        <v>16</v>
      </c>
      <c r="B10" s="5" t="s">
        <v>14</v>
      </c>
      <c r="C10" s="6">
        <f>IFERROR(SUMIFS(Trials!$L$2:$L$97,Trials!$A$2:$A$97,"wood",Trials!$B$2:$B$97,"Day 1",Trials!$D$2:$D$97,$B10,Trials!$F$2:$F$97,"1 m")/SUMIFS(Trials!$G$2:$G$97,Trials!$A$2:$A$97,"wood",Trials!$B$2:$B$97,"Day 1",Trials!$D$2:$D$97,$B10,Trials!$F$2:$F$97,"1 m"),0)</f>
        <v>0</v>
      </c>
      <c r="D10" s="6">
        <f>IFERROR(SUMIFS(Trials!$L$2:$L$97,Trials!$A$2:$A$97,"wood",Trials!$B$2:$B$97,"Day 1",Trials!$D$2:$D$97,$B10,Trials!$F$2:$F$97,"2 m")/SUMIFS(Trials!$G$2:$G$97,Trials!$A$2:$A$97,"wood",Trials!$B$2:$B$97,"Day 1",Trials!$D$2:$D$97,$B10,Trials!$F$2:$F$97,"2 m"),0)</f>
        <v>0</v>
      </c>
      <c r="E10" s="6">
        <f>IFERROR(SUMIFS(Trials!$L$2:$L$97,Trials!$A$2:$A$97,"wood",Trials!$B$2:$B$97,"Day 1",Trials!$D$2:$D$97,$B10,Trials!$F$2:$F$97,"3 m")/SUMIFS(Trials!$G$2:$G$97,Trials!$A$2:$A$97,"wood",Trials!$B$2:$B$97,"Day 1",Trials!$D$2:$D$97,$B10,Trials!$F$2:$F$97,"3 m"),0)</f>
        <v>0</v>
      </c>
      <c r="F10" s="6">
        <f>IFERROR(SUMIFS(Trials!$L$2:$L$97,Trials!$A$2:$A$97,"wood",Trials!$B$2:$B$97,"Day 1",Trials!$D$2:$D$97,$B10,Trials!$F$2:$F$97,"Noise baseline")/SUMIFS(Trials!$G$2:$G$97,Trials!$A$2:$A$97,"wood",Trials!$B$2:$B$97,"Day 1",Trials!$D$2:$D$97,$B10,Trials!$F$2:$F$97,"Noise baseline"),0)</f>
        <v>0</v>
      </c>
      <c r="G10" s="6">
        <f>IFERROR(SUMIFS(Trials!$L$2:$L$97,Trials!$A$2:$A$97,"wood",Trials!$B$2:$B$97,"Day 2",Trials!$D$2:$D$97,$B10,Trials!$F$2:$F$97,"1 m")/SUMIFS(Trials!$G$2:$G$97,Trials!$A$2:$A$97,"wood",Trials!$B$2:$B$97,"Day 2",Trials!$D$2:$D$97,$B10,Trials!$F$2:$F$97,"1 m"),0)</f>
        <v>0</v>
      </c>
      <c r="H10" s="6">
        <f>IFERROR(SUMIFS(Trials!$L$2:$L$97,Trials!$A$2:$A$97,"wood",Trials!$B$2:$B$97,"Day 2",Trials!$D$2:$D$97,$B10,Trials!$F$2:$F$97,"2 m")/SUMIFS(Trials!$G$2:$G$97,Trials!$A$2:$A$97,"wood",Trials!$B$2:$B$97,"Day 2",Trials!$D$2:$D$97,$B10,Trials!$F$2:$F$97,"2 m"),0)</f>
        <v>0</v>
      </c>
      <c r="I10" s="6">
        <f>IFERROR(SUMIFS(Trials!$L$2:$L$97,Trials!$A$2:$A$97,"wood",Trials!$B$2:$B$97,"Day 2",Trials!$D$2:$D$97,$B10,Trials!$F$2:$F$97,"3 m")/SUMIFS(Trials!$G$2:$G$97,Trials!$A$2:$A$97,"wood",Trials!$B$2:$B$97,"Day 2",Trials!$D$2:$D$97,$B10,Trials!$F$2:$F$97,"3 m"),0)</f>
        <v>0</v>
      </c>
      <c r="J10" s="6">
        <f>IFERROR(SUMIFS(Trials!$L$2:$L$97,Trials!$A$2:$A$97,"wood",Trials!$B$2:$B$97,"Day 2",Trials!$D$2:$D$97,$B10,Trials!$F$2:$F$97,"Noise baseline")/SUMIFS(Trials!$G$2:$G$97,Trials!$A$2:$A$97,"wood",Trials!$B$2:$B$97,"Day 2",Trials!$D$2:$D$97,$B10,Trials!$F$2:$F$97,"Noise baseline"),0)</f>
        <v>0</v>
      </c>
      <c r="K10" s="7">
        <f>IFERROR(SUMIFS(Trials!$L$2:$L$97,Trials!$A$2:$A$97,"wood",Trials!$D$2:$D$97,$B10)/SUMIFS(Trials!$G$2:$G$97,Trials!$A$2:$A$97,"wood",Trials!$D$2:$D$97,$B10),0)</f>
        <v>0</v>
      </c>
    </row>
    <row r="11" spans="1:11" ht="22" customHeight="1" x14ac:dyDescent="0.35">
      <c r="A11" s="19"/>
      <c r="B11" s="5" t="s">
        <v>15</v>
      </c>
      <c r="C11" s="6">
        <f>IFERROR(SUMIFS(Trials!$L$2:$L$97,Trials!$A$2:$A$97,"wood",Trials!$B$2:$B$97,"Day 1",Trials!$D$2:$D$97,$B11,Trials!$F$2:$F$97,"1 m")/SUMIFS(Trials!$G$2:$G$97,Trials!$A$2:$A$97,"wood",Trials!$B$2:$B$97,"Day 1",Trials!$D$2:$D$97,$B11,Trials!$F$2:$F$97,"1 m"),0)</f>
        <v>0</v>
      </c>
      <c r="D11" s="6">
        <f>IFERROR(SUMIFS(Trials!$L$2:$L$97,Trials!$A$2:$A$97,"wood",Trials!$B$2:$B$97,"Day 1",Trials!$D$2:$D$97,$B11,Trials!$F$2:$F$97,"2 m")/SUMIFS(Trials!$G$2:$G$97,Trials!$A$2:$A$97,"wood",Trials!$B$2:$B$97,"Day 1",Trials!$D$2:$D$97,$B11,Trials!$F$2:$F$97,"2 m"),0)</f>
        <v>0</v>
      </c>
      <c r="E11" s="6">
        <f>IFERROR(SUMIFS(Trials!$L$2:$L$97,Trials!$A$2:$A$97,"wood",Trials!$B$2:$B$97,"Day 1",Trials!$D$2:$D$97,$B11,Trials!$F$2:$F$97,"3 m")/SUMIFS(Trials!$G$2:$G$97,Trials!$A$2:$A$97,"wood",Trials!$B$2:$B$97,"Day 1",Trials!$D$2:$D$97,$B11,Trials!$F$2:$F$97,"3 m"),0)</f>
        <v>0</v>
      </c>
      <c r="F11" s="6">
        <f>IFERROR(SUMIFS(Trials!$L$2:$L$97,Trials!$A$2:$A$97,"wood",Trials!$B$2:$B$97,"Day 1",Trials!$D$2:$D$97,$B11,Trials!$F$2:$F$97,"Noise baseline")/SUMIFS(Trials!$G$2:$G$97,Trials!$A$2:$A$97,"wood",Trials!$B$2:$B$97,"Day 1",Trials!$D$2:$D$97,$B11,Trials!$F$2:$F$97,"Noise baseline"),0)</f>
        <v>0</v>
      </c>
      <c r="G11" s="6">
        <f>IFERROR(SUMIFS(Trials!$L$2:$L$97,Trials!$A$2:$A$97,"wood",Trials!$B$2:$B$97,"Day 2",Trials!$D$2:$D$97,$B11,Trials!$F$2:$F$97,"1 m")/SUMIFS(Trials!$G$2:$G$97,Trials!$A$2:$A$97,"wood",Trials!$B$2:$B$97,"Day 2",Trials!$D$2:$D$97,$B11,Trials!$F$2:$F$97,"1 m"),0)</f>
        <v>0</v>
      </c>
      <c r="H11" s="6">
        <f>IFERROR(SUMIFS(Trials!$L$2:$L$97,Trials!$A$2:$A$97,"wood",Trials!$B$2:$B$97,"Day 2",Trials!$D$2:$D$97,$B11,Trials!$F$2:$F$97,"2 m")/SUMIFS(Trials!$G$2:$G$97,Trials!$A$2:$A$97,"wood",Trials!$B$2:$B$97,"Day 2",Trials!$D$2:$D$97,$B11,Trials!$F$2:$F$97,"2 m"),0)</f>
        <v>0</v>
      </c>
      <c r="I11" s="6">
        <f>IFERROR(SUMIFS(Trials!$L$2:$L$97,Trials!$A$2:$A$97,"wood",Trials!$B$2:$B$97,"Day 2",Trials!$D$2:$D$97,$B11,Trials!$F$2:$F$97,"3 m")/SUMIFS(Trials!$G$2:$G$97,Trials!$A$2:$A$97,"wood",Trials!$B$2:$B$97,"Day 2",Trials!$D$2:$D$97,$B11,Trials!$F$2:$F$97,"3 m"),0)</f>
        <v>0</v>
      </c>
      <c r="J11" s="6">
        <f>IFERROR(SUMIFS(Trials!$L$2:$L$97,Trials!$A$2:$A$97,"wood",Trials!$B$2:$B$97,"Day 2",Trials!$D$2:$D$97,$B11,Trials!$F$2:$F$97,"Noise baseline")/SUMIFS(Trials!$G$2:$G$97,Trials!$A$2:$A$97,"wood",Trials!$B$2:$B$97,"Day 2",Trials!$D$2:$D$97,$B11,Trials!$F$2:$F$97,"Noise baseline"),0)</f>
        <v>0</v>
      </c>
      <c r="K11" s="7">
        <f>IFERROR(SUMIFS(Trials!$L$2:$L$97,Trials!$A$2:$A$97,"wood",Trials!$D$2:$D$97,$B11)/SUMIFS(Trials!$G$2:$G$97,Trials!$A$2:$A$97,"wood",Trials!$D$2:$D$97,$B11),0)</f>
        <v>0</v>
      </c>
    </row>
    <row r="12" spans="1:11" ht="22" customHeight="1" x14ac:dyDescent="0.35">
      <c r="A12" s="19" t="s">
        <v>17</v>
      </c>
      <c r="B12" s="5" t="s">
        <v>14</v>
      </c>
      <c r="C12" s="6">
        <f>IFERROR(SUMIFS(Trials!$L$2:$L$97,Trials!$A$2:$A$97,"carpet",Trials!$B$2:$B$97,"Day 1",Trials!$D$2:$D$97,$B12,Trials!$F$2:$F$97,"1 m")/SUMIFS(Trials!$G$2:$G$97,Trials!$A$2:$A$97,"carpet",Trials!$B$2:$B$97,"Day 1",Trials!$D$2:$D$97,$B12,Trials!$F$2:$F$97,"1 m"),0)</f>
        <v>0</v>
      </c>
      <c r="D12" s="6">
        <f>IFERROR(SUMIFS(Trials!$L$2:$L$97,Trials!$A$2:$A$97,"carpet",Trials!$B$2:$B$97,"Day 1",Trials!$D$2:$D$97,$B12,Trials!$F$2:$F$97,"2 m")/SUMIFS(Trials!$G$2:$G$97,Trials!$A$2:$A$97,"carpet",Trials!$B$2:$B$97,"Day 1",Trials!$D$2:$D$97,$B12,Trials!$F$2:$F$97,"2 m"),0)</f>
        <v>0</v>
      </c>
      <c r="E12" s="6">
        <f>IFERROR(SUMIFS(Trials!$L$2:$L$97,Trials!$A$2:$A$97,"carpet",Trials!$B$2:$B$97,"Day 1",Trials!$D$2:$D$97,$B12,Trials!$F$2:$F$97,"3 m")/SUMIFS(Trials!$G$2:$G$97,Trials!$A$2:$A$97,"carpet",Trials!$B$2:$B$97,"Day 1",Trials!$D$2:$D$97,$B12,Trials!$F$2:$F$97,"3 m"),0)</f>
        <v>0</v>
      </c>
      <c r="F12" s="6">
        <f>IFERROR(SUMIFS(Trials!$L$2:$L$97,Trials!$A$2:$A$97,"carpet",Trials!$B$2:$B$97,"Day 1",Trials!$D$2:$D$97,$B12,Trials!$F$2:$F$97,"Noise baseline")/SUMIFS(Trials!$G$2:$G$97,Trials!$A$2:$A$97,"carpet",Trials!$B$2:$B$97,"Day 1",Trials!$D$2:$D$97,$B12,Trials!$F$2:$F$97,"Noise baseline"),0)</f>
        <v>0</v>
      </c>
      <c r="G12" s="6">
        <f>IFERROR(SUMIFS(Trials!$L$2:$L$97,Trials!$A$2:$A$97,"carpet",Trials!$B$2:$B$97,"Day 2",Trials!$D$2:$D$97,$B12,Trials!$F$2:$F$97,"1 m")/SUMIFS(Trials!$G$2:$G$97,Trials!$A$2:$A$97,"carpet",Trials!$B$2:$B$97,"Day 2",Trials!$D$2:$D$97,$B12,Trials!$F$2:$F$97,"1 m"),0)</f>
        <v>0</v>
      </c>
      <c r="H12" s="6">
        <f>IFERROR(SUMIFS(Trials!$L$2:$L$97,Trials!$A$2:$A$97,"carpet",Trials!$B$2:$B$97,"Day 2",Trials!$D$2:$D$97,$B12,Trials!$F$2:$F$97,"2 m")/SUMIFS(Trials!$G$2:$G$97,Trials!$A$2:$A$97,"carpet",Trials!$B$2:$B$97,"Day 2",Trials!$D$2:$D$97,$B12,Trials!$F$2:$F$97,"2 m"),0)</f>
        <v>0</v>
      </c>
      <c r="I12" s="6">
        <f>IFERROR(SUMIFS(Trials!$L$2:$L$97,Trials!$A$2:$A$97,"carpet",Trials!$B$2:$B$97,"Day 2",Trials!$D$2:$D$97,$B12,Trials!$F$2:$F$97,"3 m")/SUMIFS(Trials!$G$2:$G$97,Trials!$A$2:$A$97,"carpet",Trials!$B$2:$B$97,"Day 2",Trials!$D$2:$D$97,$B12,Trials!$F$2:$F$97,"3 m"),0)</f>
        <v>0</v>
      </c>
      <c r="J12" s="6">
        <f>IFERROR(SUMIFS(Trials!$L$2:$L$97,Trials!$A$2:$A$97,"carpet",Trials!$B$2:$B$97,"Day 2",Trials!$D$2:$D$97,$B12,Trials!$F$2:$F$97,"Noise baseline")/SUMIFS(Trials!$G$2:$G$97,Trials!$A$2:$A$97,"carpet",Trials!$B$2:$B$97,"Day 2",Trials!$D$2:$D$97,$B12,Trials!$F$2:$F$97,"Noise baseline"),0)</f>
        <v>0</v>
      </c>
      <c r="K12" s="7">
        <f>IFERROR(SUMIFS(Trials!$L$2:$L$97,Trials!$A$2:$A$97,"carpet",Trials!$D$2:$D$97,$B12)/SUMIFS(Trials!$G$2:$G$97,Trials!$A$2:$A$97,"carpet",Trials!$D$2:$D$97,$B12),0)</f>
        <v>0</v>
      </c>
    </row>
    <row r="13" spans="1:11" ht="22" customHeight="1" x14ac:dyDescent="0.35">
      <c r="A13" s="19"/>
      <c r="B13" s="5" t="s">
        <v>15</v>
      </c>
      <c r="C13" s="6">
        <f>IFERROR(SUMIFS(Trials!$L$2:$L$97,Trials!$A$2:$A$97,"carpet",Trials!$B$2:$B$97,"Day 1",Trials!$D$2:$D$97,$B13,Trials!$F$2:$F$97,"1 m")/SUMIFS(Trials!$G$2:$G$97,Trials!$A$2:$A$97,"carpet",Trials!$B$2:$B$97,"Day 1",Trials!$D$2:$D$97,$B13,Trials!$F$2:$F$97,"1 m"),0)</f>
        <v>0</v>
      </c>
      <c r="D13" s="6">
        <f>IFERROR(SUMIFS(Trials!$L$2:$L$97,Trials!$A$2:$A$97,"carpet",Trials!$B$2:$B$97,"Day 1",Trials!$D$2:$D$97,$B13,Trials!$F$2:$F$97,"2 m")/SUMIFS(Trials!$G$2:$G$97,Trials!$A$2:$A$97,"carpet",Trials!$B$2:$B$97,"Day 1",Trials!$D$2:$D$97,$B13,Trials!$F$2:$F$97,"2 m"),0)</f>
        <v>0</v>
      </c>
      <c r="E13" s="6">
        <f>IFERROR(SUMIFS(Trials!$L$2:$L$97,Trials!$A$2:$A$97,"carpet",Trials!$B$2:$B$97,"Day 1",Trials!$D$2:$D$97,$B13,Trials!$F$2:$F$97,"3 m")/SUMIFS(Trials!$G$2:$G$97,Trials!$A$2:$A$97,"carpet",Trials!$B$2:$B$97,"Day 1",Trials!$D$2:$D$97,$B13,Trials!$F$2:$F$97,"3 m"),0)</f>
        <v>0</v>
      </c>
      <c r="F13" s="6">
        <f>IFERROR(SUMIFS(Trials!$L$2:$L$97,Trials!$A$2:$A$97,"carpet",Trials!$B$2:$B$97,"Day 1",Trials!$D$2:$D$97,$B13,Trials!$F$2:$F$97,"Noise baseline")/SUMIFS(Trials!$G$2:$G$97,Trials!$A$2:$A$97,"carpet",Trials!$B$2:$B$97,"Day 1",Trials!$D$2:$D$97,$B13,Trials!$F$2:$F$97,"Noise baseline"),0)</f>
        <v>0</v>
      </c>
      <c r="G13" s="6">
        <f>IFERROR(SUMIFS(Trials!$L$2:$L$97,Trials!$A$2:$A$97,"carpet",Trials!$B$2:$B$97,"Day 2",Trials!$D$2:$D$97,$B13,Trials!$F$2:$F$97,"1 m")/SUMIFS(Trials!$G$2:$G$97,Trials!$A$2:$A$97,"carpet",Trials!$B$2:$B$97,"Day 2",Trials!$D$2:$D$97,$B13,Trials!$F$2:$F$97,"1 m"),0)</f>
        <v>0</v>
      </c>
      <c r="H13" s="6">
        <f>IFERROR(SUMIFS(Trials!$L$2:$L$97,Trials!$A$2:$A$97,"carpet",Trials!$B$2:$B$97,"Day 2",Trials!$D$2:$D$97,$B13,Trials!$F$2:$F$97,"2 m")/SUMIFS(Trials!$G$2:$G$97,Trials!$A$2:$A$97,"carpet",Trials!$B$2:$B$97,"Day 2",Trials!$D$2:$D$97,$B13,Trials!$F$2:$F$97,"2 m"),0)</f>
        <v>0</v>
      </c>
      <c r="I13" s="6">
        <f>IFERROR(SUMIFS(Trials!$L$2:$L$97,Trials!$A$2:$A$97,"carpet",Trials!$B$2:$B$97,"Day 2",Trials!$D$2:$D$97,$B13,Trials!$F$2:$F$97,"3 m")/SUMIFS(Trials!$G$2:$G$97,Trials!$A$2:$A$97,"carpet",Trials!$B$2:$B$97,"Day 2",Trials!$D$2:$D$97,$B13,Trials!$F$2:$F$97,"3 m"),0)</f>
        <v>0</v>
      </c>
      <c r="J13" s="6">
        <f>IFERROR(SUMIFS(Trials!$L$2:$L$97,Trials!$A$2:$A$97,"carpet",Trials!$B$2:$B$97,"Day 2",Trials!$D$2:$D$97,$B13,Trials!$F$2:$F$97,"Noise baseline")/SUMIFS(Trials!$G$2:$G$97,Trials!$A$2:$A$97,"carpet",Trials!$B$2:$B$97,"Day 2",Trials!$D$2:$D$97,$B13,Trials!$F$2:$F$97,"Noise baseline"),0)</f>
        <v>0</v>
      </c>
      <c r="K13" s="7">
        <f>IFERROR(SUMIFS(Trials!$L$2:$L$97,Trials!$A$2:$A$97,"carpet",Trials!$D$2:$D$97,$B13)/SUMIFS(Trials!$G$2:$G$97,Trials!$A$2:$A$97,"carpet",Trials!$D$2:$D$97,$B13),0)</f>
        <v>0</v>
      </c>
    </row>
    <row r="14" spans="1:11" ht="22" customHeight="1" x14ac:dyDescent="0.35">
      <c r="A14" s="19" t="s">
        <v>18</v>
      </c>
      <c r="B14" s="19"/>
      <c r="C14" s="7">
        <f>IFERROR(SUMIFS(Trials!$L$2:$L$97,Trials!$B$2:$B$97,"Day 1",Trials!$F$2:$F$97,"1 m")/SUMIFS(Trials!$G$2:$G$97,Trials!$B$2:$B$97,"Day 1",Trials!$F$2:$F$97,"1 m"),0)</f>
        <v>0</v>
      </c>
      <c r="D14" s="7">
        <f>IFERROR(SUMIFS(Trials!$L$2:$L$97,Trials!$B$2:$B$97,"Day 1",Trials!$F$2:$F$97,"2 m")/SUMIFS(Trials!$G$2:$G$97,Trials!$B$2:$B$97,"Day 1",Trials!$F$2:$F$97,"2 m"),0)</f>
        <v>0</v>
      </c>
      <c r="E14" s="7">
        <f>IFERROR(SUMIFS(Trials!$L$2:$L$97,Trials!$B$2:$B$97,"Day 1",Trials!$F$2:$F$97,"3 m")/SUMIFS(Trials!$G$2:$G$97,Trials!$B$2:$B$97,"Day 1",Trials!$F$2:$F$97,"3 m"),0)</f>
        <v>0</v>
      </c>
      <c r="F14" s="7">
        <f>IFERROR(SUMIFS(Trials!$L$2:$L$97,Trials!$B$2:$B$97,"Day 1",Trials!$F$2:$F$97,"Noise baseline")/SUMIFS(Trials!$G$2:$G$97,Trials!$B$2:$B$97,"Day 1",Trials!$F$2:$F$97,"Noise baseline"),0)</f>
        <v>0</v>
      </c>
      <c r="G14" s="7">
        <f>IFERROR(SUMIFS(Trials!$L$2:$L$97,Trials!$B$2:$B$97,"Day 2",Trials!$F$2:$F$97,"1 m")/SUMIFS(Trials!$G$2:$G$97,Trials!$B$2:$B$97,"Day 2",Trials!$F$2:$F$97,"1 m"),0)</f>
        <v>0</v>
      </c>
      <c r="H14" s="7">
        <f>IFERROR(SUMIFS(Trials!$L$2:$L$97,Trials!$B$2:$B$97,"Day 2",Trials!$F$2:$F$97,"2 m")/SUMIFS(Trials!$G$2:$G$97,Trials!$B$2:$B$97,"Day 2",Trials!$F$2:$F$97,"2 m"),0)</f>
        <v>0</v>
      </c>
      <c r="I14" s="7">
        <f>IFERROR(SUMIFS(Trials!$L$2:$L$97,Trials!$B$2:$B$97,"Day 2",Trials!$F$2:$F$97,"3 m")/SUMIFS(Trials!$G$2:$G$97,Trials!$B$2:$B$97,"Day 2",Trials!$F$2:$F$97,"3 m"),0)</f>
        <v>0</v>
      </c>
      <c r="J14" s="7">
        <f>IFERROR(SUMIFS(Trials!$L$2:$L$97,Trials!$B$2:$B$97,"Day 2",Trials!$F$2:$F$97,"Noise baseline")/SUMIFS(Trials!$G$2:$G$97,Trials!$B$2:$B$97,"Day 2",Trials!$F$2:$F$97,"Noise baseline"),0)</f>
        <v>0</v>
      </c>
      <c r="K14" s="7">
        <f>IFERROR(SUM(Trials!$L$2:$L$97)/SUM(Trials!$G$2:$G$97),0)</f>
        <v>0</v>
      </c>
    </row>
    <row r="16" spans="1:11" x14ac:dyDescent="0.35">
      <c r="B16" s="8"/>
      <c r="C16" s="9" t="s">
        <v>19</v>
      </c>
    </row>
    <row r="17" spans="1:3" x14ac:dyDescent="0.35">
      <c r="B17" s="10"/>
      <c r="C17" s="9" t="s">
        <v>20</v>
      </c>
    </row>
    <row r="18" spans="1:3" x14ac:dyDescent="0.35">
      <c r="B18" s="11"/>
      <c r="C18" s="9" t="s">
        <v>21</v>
      </c>
    </row>
    <row r="20" spans="1:3" x14ac:dyDescent="0.35">
      <c r="A20" s="3" t="s">
        <v>22</v>
      </c>
    </row>
    <row r="21" spans="1:3" x14ac:dyDescent="0.35">
      <c r="A21" s="3" t="s">
        <v>23</v>
      </c>
    </row>
    <row r="22" spans="1:3" x14ac:dyDescent="0.35">
      <c r="A22" s="3" t="s">
        <v>24</v>
      </c>
    </row>
    <row r="23" spans="1:3" x14ac:dyDescent="0.35">
      <c r="A23" s="3" t="s">
        <v>25</v>
      </c>
    </row>
  </sheetData>
  <mergeCells count="11">
    <mergeCell ref="G6:J6"/>
    <mergeCell ref="B6:B7"/>
    <mergeCell ref="A4:B4"/>
    <mergeCell ref="A2:K2"/>
    <mergeCell ref="A8:A9"/>
    <mergeCell ref="K6:K7"/>
    <mergeCell ref="A12:A13"/>
    <mergeCell ref="A6:A7"/>
    <mergeCell ref="A10:A11"/>
    <mergeCell ref="A14:B14"/>
    <mergeCell ref="C6:F6"/>
  </mergeCells>
  <conditionalFormatting sqref="C8:K14">
    <cfRule type="expression" dxfId="4" priority="1">
      <formula>C8&gt;=1</formula>
    </cfRule>
    <cfRule type="expression" dxfId="3" priority="2">
      <formula>AND(C8&gt;0,C8&lt;1)</formula>
    </cfRule>
    <cfRule type="expression" dxfId="2" priority="3">
      <formula>C8=0</formula>
    </cfRule>
  </conditionalFormatting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8" customWidth="1"/>
    <col min="3" max="3" width="7" customWidth="1"/>
    <col min="4" max="4" width="11" customWidth="1"/>
    <col min="5" max="5" width="16" customWidth="1"/>
    <col min="6" max="6" width="15" customWidth="1"/>
    <col min="7" max="8" width="9" customWidth="1"/>
    <col min="9" max="10" width="12" customWidth="1"/>
    <col min="11" max="11" width="40" customWidth="1"/>
    <col min="12" max="12" width="10" customWidth="1"/>
  </cols>
  <sheetData>
    <row r="1" spans="1:12" ht="28" customHeight="1" x14ac:dyDescent="0.35">
      <c r="A1" s="4" t="s">
        <v>4</v>
      </c>
      <c r="B1" s="4" t="s">
        <v>26</v>
      </c>
      <c r="C1" s="4" t="s">
        <v>27</v>
      </c>
      <c r="D1" s="4" t="s">
        <v>5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</row>
    <row r="2" spans="1:12" x14ac:dyDescent="0.35">
      <c r="A2" s="12" t="s">
        <v>13</v>
      </c>
      <c r="B2" s="12" t="s">
        <v>6</v>
      </c>
      <c r="C2" s="12">
        <v>1</v>
      </c>
      <c r="D2" s="12" t="s">
        <v>14</v>
      </c>
      <c r="E2" s="12" t="s">
        <v>36</v>
      </c>
      <c r="F2" s="12" t="s">
        <v>37</v>
      </c>
      <c r="G2" s="12">
        <v>1</v>
      </c>
      <c r="H2" s="13"/>
      <c r="I2" s="12" t="str">
        <f t="shared" ref="I2:I33" si="0">IF(H2="","Not started",IF(H2&gt;=G2,"Done","Partial"))</f>
        <v>Not started</v>
      </c>
      <c r="J2" s="14"/>
      <c r="K2" s="15"/>
      <c r="L2" s="16">
        <f t="shared" ref="L2:L33" si="1">MIN(N(H2),G2)</f>
        <v>0</v>
      </c>
    </row>
    <row r="3" spans="1:12" x14ac:dyDescent="0.35">
      <c r="A3" s="12" t="s">
        <v>13</v>
      </c>
      <c r="B3" s="12" t="s">
        <v>6</v>
      </c>
      <c r="C3" s="12">
        <v>1</v>
      </c>
      <c r="D3" s="12" t="s">
        <v>14</v>
      </c>
      <c r="E3" s="12" t="s">
        <v>36</v>
      </c>
      <c r="F3" s="12" t="s">
        <v>9</v>
      </c>
      <c r="G3" s="12">
        <f>Overview!$C$4</f>
        <v>5</v>
      </c>
      <c r="H3" s="13"/>
      <c r="I3" s="12" t="str">
        <f t="shared" si="0"/>
        <v>Not started</v>
      </c>
      <c r="J3" s="14"/>
      <c r="K3" s="15"/>
      <c r="L3" s="16">
        <f t="shared" si="1"/>
        <v>0</v>
      </c>
    </row>
    <row r="4" spans="1:12" x14ac:dyDescent="0.35">
      <c r="A4" s="12" t="s">
        <v>13</v>
      </c>
      <c r="B4" s="12" t="s">
        <v>6</v>
      </c>
      <c r="C4" s="12">
        <v>1</v>
      </c>
      <c r="D4" s="12" t="s">
        <v>14</v>
      </c>
      <c r="E4" s="12" t="s">
        <v>36</v>
      </c>
      <c r="F4" s="12" t="s">
        <v>10</v>
      </c>
      <c r="G4" s="12">
        <f>Overview!$C$4</f>
        <v>5</v>
      </c>
      <c r="H4" s="13"/>
      <c r="I4" s="12" t="str">
        <f t="shared" si="0"/>
        <v>Not started</v>
      </c>
      <c r="J4" s="14"/>
      <c r="K4" s="15"/>
      <c r="L4" s="16">
        <f t="shared" si="1"/>
        <v>0</v>
      </c>
    </row>
    <row r="5" spans="1:12" x14ac:dyDescent="0.35">
      <c r="A5" s="12" t="s">
        <v>13</v>
      </c>
      <c r="B5" s="12" t="s">
        <v>6</v>
      </c>
      <c r="C5" s="12">
        <v>1</v>
      </c>
      <c r="D5" s="12" t="s">
        <v>14</v>
      </c>
      <c r="E5" s="12" t="s">
        <v>36</v>
      </c>
      <c r="F5" s="12" t="s">
        <v>11</v>
      </c>
      <c r="G5" s="12">
        <f>Overview!$C$4</f>
        <v>5</v>
      </c>
      <c r="H5" s="13"/>
      <c r="I5" s="12" t="str">
        <f t="shared" si="0"/>
        <v>Not started</v>
      </c>
      <c r="J5" s="14"/>
      <c r="K5" s="15"/>
      <c r="L5" s="16">
        <f t="shared" si="1"/>
        <v>0</v>
      </c>
    </row>
    <row r="6" spans="1:12" x14ac:dyDescent="0.35">
      <c r="A6" s="17" t="s">
        <v>13</v>
      </c>
      <c r="B6" s="17" t="s">
        <v>6</v>
      </c>
      <c r="C6" s="17">
        <v>2</v>
      </c>
      <c r="D6" s="17" t="s">
        <v>15</v>
      </c>
      <c r="E6" s="17" t="s">
        <v>38</v>
      </c>
      <c r="F6" s="17" t="s">
        <v>37</v>
      </c>
      <c r="G6" s="17">
        <v>1</v>
      </c>
      <c r="H6" s="13"/>
      <c r="I6" s="17" t="str">
        <f t="shared" si="0"/>
        <v>Not started</v>
      </c>
      <c r="J6" s="14"/>
      <c r="K6" s="15"/>
      <c r="L6" s="18">
        <f t="shared" si="1"/>
        <v>0</v>
      </c>
    </row>
    <row r="7" spans="1:12" x14ac:dyDescent="0.35">
      <c r="A7" s="17" t="s">
        <v>13</v>
      </c>
      <c r="B7" s="17" t="s">
        <v>6</v>
      </c>
      <c r="C7" s="17">
        <v>2</v>
      </c>
      <c r="D7" s="17" t="s">
        <v>15</v>
      </c>
      <c r="E7" s="17" t="s">
        <v>38</v>
      </c>
      <c r="F7" s="17" t="s">
        <v>9</v>
      </c>
      <c r="G7" s="17">
        <f>Overview!$C$4</f>
        <v>5</v>
      </c>
      <c r="H7" s="13"/>
      <c r="I7" s="17" t="str">
        <f t="shared" si="0"/>
        <v>Not started</v>
      </c>
      <c r="J7" s="14"/>
      <c r="K7" s="15"/>
      <c r="L7" s="18">
        <f t="shared" si="1"/>
        <v>0</v>
      </c>
    </row>
    <row r="8" spans="1:12" x14ac:dyDescent="0.35">
      <c r="A8" s="17" t="s">
        <v>13</v>
      </c>
      <c r="B8" s="17" t="s">
        <v>6</v>
      </c>
      <c r="C8" s="17">
        <v>2</v>
      </c>
      <c r="D8" s="17" t="s">
        <v>15</v>
      </c>
      <c r="E8" s="17" t="s">
        <v>38</v>
      </c>
      <c r="F8" s="17" t="s">
        <v>10</v>
      </c>
      <c r="G8" s="17">
        <f>Overview!$C$4</f>
        <v>5</v>
      </c>
      <c r="H8" s="13"/>
      <c r="I8" s="17" t="str">
        <f t="shared" si="0"/>
        <v>Not started</v>
      </c>
      <c r="J8" s="14"/>
      <c r="K8" s="15"/>
      <c r="L8" s="18">
        <f t="shared" si="1"/>
        <v>0</v>
      </c>
    </row>
    <row r="9" spans="1:12" x14ac:dyDescent="0.35">
      <c r="A9" s="17" t="s">
        <v>13</v>
      </c>
      <c r="B9" s="17" t="s">
        <v>6</v>
      </c>
      <c r="C9" s="17">
        <v>2</v>
      </c>
      <c r="D9" s="17" t="s">
        <v>15</v>
      </c>
      <c r="E9" s="17" t="s">
        <v>38</v>
      </c>
      <c r="F9" s="17" t="s">
        <v>11</v>
      </c>
      <c r="G9" s="17">
        <f>Overview!$C$4</f>
        <v>5</v>
      </c>
      <c r="H9" s="13"/>
      <c r="I9" s="17" t="str">
        <f t="shared" si="0"/>
        <v>Not started</v>
      </c>
      <c r="J9" s="14"/>
      <c r="K9" s="15"/>
      <c r="L9" s="18">
        <f t="shared" si="1"/>
        <v>0</v>
      </c>
    </row>
    <row r="10" spans="1:12" x14ac:dyDescent="0.35">
      <c r="A10" s="12" t="s">
        <v>13</v>
      </c>
      <c r="B10" s="12" t="s">
        <v>6</v>
      </c>
      <c r="C10" s="12">
        <v>3</v>
      </c>
      <c r="D10" s="12" t="s">
        <v>14</v>
      </c>
      <c r="E10" s="12" t="s">
        <v>39</v>
      </c>
      <c r="F10" s="12" t="s">
        <v>37</v>
      </c>
      <c r="G10" s="12">
        <v>1</v>
      </c>
      <c r="H10" s="13"/>
      <c r="I10" s="12" t="str">
        <f t="shared" si="0"/>
        <v>Not started</v>
      </c>
      <c r="J10" s="14"/>
      <c r="K10" s="15"/>
      <c r="L10" s="16">
        <f t="shared" si="1"/>
        <v>0</v>
      </c>
    </row>
    <row r="11" spans="1:12" x14ac:dyDescent="0.35">
      <c r="A11" s="12" t="s">
        <v>13</v>
      </c>
      <c r="B11" s="12" t="s">
        <v>6</v>
      </c>
      <c r="C11" s="12">
        <v>3</v>
      </c>
      <c r="D11" s="12" t="s">
        <v>14</v>
      </c>
      <c r="E11" s="12" t="s">
        <v>39</v>
      </c>
      <c r="F11" s="12" t="s">
        <v>9</v>
      </c>
      <c r="G11" s="12">
        <f>Overview!$C$4</f>
        <v>5</v>
      </c>
      <c r="H11" s="13"/>
      <c r="I11" s="12" t="str">
        <f t="shared" si="0"/>
        <v>Not started</v>
      </c>
      <c r="J11" s="14"/>
      <c r="K11" s="15"/>
      <c r="L11" s="16">
        <f t="shared" si="1"/>
        <v>0</v>
      </c>
    </row>
    <row r="12" spans="1:12" x14ac:dyDescent="0.35">
      <c r="A12" s="12" t="s">
        <v>13</v>
      </c>
      <c r="B12" s="12" t="s">
        <v>6</v>
      </c>
      <c r="C12" s="12">
        <v>3</v>
      </c>
      <c r="D12" s="12" t="s">
        <v>14</v>
      </c>
      <c r="E12" s="12" t="s">
        <v>39</v>
      </c>
      <c r="F12" s="12" t="s">
        <v>10</v>
      </c>
      <c r="G12" s="12">
        <f>Overview!$C$4</f>
        <v>5</v>
      </c>
      <c r="H12" s="13"/>
      <c r="I12" s="12" t="str">
        <f t="shared" si="0"/>
        <v>Not started</v>
      </c>
      <c r="J12" s="14"/>
      <c r="K12" s="15"/>
      <c r="L12" s="16">
        <f t="shared" si="1"/>
        <v>0</v>
      </c>
    </row>
    <row r="13" spans="1:12" x14ac:dyDescent="0.35">
      <c r="A13" s="12" t="s">
        <v>13</v>
      </c>
      <c r="B13" s="12" t="s">
        <v>6</v>
      </c>
      <c r="C13" s="12">
        <v>3</v>
      </c>
      <c r="D13" s="12" t="s">
        <v>14</v>
      </c>
      <c r="E13" s="12" t="s">
        <v>39</v>
      </c>
      <c r="F13" s="12" t="s">
        <v>11</v>
      </c>
      <c r="G13" s="12">
        <f>Overview!$C$4</f>
        <v>5</v>
      </c>
      <c r="H13" s="13"/>
      <c r="I13" s="12" t="str">
        <f t="shared" si="0"/>
        <v>Not started</v>
      </c>
      <c r="J13" s="14"/>
      <c r="K13" s="15"/>
      <c r="L13" s="16">
        <f t="shared" si="1"/>
        <v>0</v>
      </c>
    </row>
    <row r="14" spans="1:12" x14ac:dyDescent="0.35">
      <c r="A14" s="17" t="s">
        <v>13</v>
      </c>
      <c r="B14" s="17" t="s">
        <v>6</v>
      </c>
      <c r="C14" s="17">
        <v>4</v>
      </c>
      <c r="D14" s="17" t="s">
        <v>15</v>
      </c>
      <c r="E14" s="17" t="s">
        <v>40</v>
      </c>
      <c r="F14" s="17" t="s">
        <v>37</v>
      </c>
      <c r="G14" s="17">
        <v>1</v>
      </c>
      <c r="H14" s="13"/>
      <c r="I14" s="17" t="str">
        <f t="shared" si="0"/>
        <v>Not started</v>
      </c>
      <c r="J14" s="14"/>
      <c r="K14" s="15"/>
      <c r="L14" s="18">
        <f t="shared" si="1"/>
        <v>0</v>
      </c>
    </row>
    <row r="15" spans="1:12" x14ac:dyDescent="0.35">
      <c r="A15" s="17" t="s">
        <v>13</v>
      </c>
      <c r="B15" s="17" t="s">
        <v>6</v>
      </c>
      <c r="C15" s="17">
        <v>4</v>
      </c>
      <c r="D15" s="17" t="s">
        <v>15</v>
      </c>
      <c r="E15" s="17" t="s">
        <v>40</v>
      </c>
      <c r="F15" s="17" t="s">
        <v>9</v>
      </c>
      <c r="G15" s="17">
        <f>Overview!$C$4</f>
        <v>5</v>
      </c>
      <c r="H15" s="13"/>
      <c r="I15" s="17" t="str">
        <f t="shared" si="0"/>
        <v>Not started</v>
      </c>
      <c r="J15" s="14"/>
      <c r="K15" s="15"/>
      <c r="L15" s="18">
        <f t="shared" si="1"/>
        <v>0</v>
      </c>
    </row>
    <row r="16" spans="1:12" x14ac:dyDescent="0.35">
      <c r="A16" s="17" t="s">
        <v>13</v>
      </c>
      <c r="B16" s="17" t="s">
        <v>6</v>
      </c>
      <c r="C16" s="17">
        <v>4</v>
      </c>
      <c r="D16" s="17" t="s">
        <v>15</v>
      </c>
      <c r="E16" s="17" t="s">
        <v>40</v>
      </c>
      <c r="F16" s="17" t="s">
        <v>10</v>
      </c>
      <c r="G16" s="17">
        <f>Overview!$C$4</f>
        <v>5</v>
      </c>
      <c r="H16" s="13"/>
      <c r="I16" s="17" t="str">
        <f t="shared" si="0"/>
        <v>Not started</v>
      </c>
      <c r="J16" s="14"/>
      <c r="K16" s="15"/>
      <c r="L16" s="18">
        <f t="shared" si="1"/>
        <v>0</v>
      </c>
    </row>
    <row r="17" spans="1:12" x14ac:dyDescent="0.35">
      <c r="A17" s="17" t="s">
        <v>13</v>
      </c>
      <c r="B17" s="17" t="s">
        <v>6</v>
      </c>
      <c r="C17" s="17">
        <v>4</v>
      </c>
      <c r="D17" s="17" t="s">
        <v>15</v>
      </c>
      <c r="E17" s="17" t="s">
        <v>40</v>
      </c>
      <c r="F17" s="17" t="s">
        <v>11</v>
      </c>
      <c r="G17" s="17">
        <f>Overview!$C$4</f>
        <v>5</v>
      </c>
      <c r="H17" s="13"/>
      <c r="I17" s="17" t="str">
        <f t="shared" si="0"/>
        <v>Not started</v>
      </c>
      <c r="J17" s="14"/>
      <c r="K17" s="15"/>
      <c r="L17" s="18">
        <f t="shared" si="1"/>
        <v>0</v>
      </c>
    </row>
    <row r="18" spans="1:12" x14ac:dyDescent="0.35">
      <c r="A18" s="12" t="s">
        <v>13</v>
      </c>
      <c r="B18" s="12" t="s">
        <v>7</v>
      </c>
      <c r="C18" s="12">
        <v>1</v>
      </c>
      <c r="D18" s="12" t="s">
        <v>14</v>
      </c>
      <c r="E18" s="12" t="s">
        <v>36</v>
      </c>
      <c r="F18" s="12" t="s">
        <v>37</v>
      </c>
      <c r="G18" s="12">
        <v>1</v>
      </c>
      <c r="H18" s="13"/>
      <c r="I18" s="12" t="str">
        <f t="shared" si="0"/>
        <v>Not started</v>
      </c>
      <c r="J18" s="14"/>
      <c r="K18" s="15"/>
      <c r="L18" s="16">
        <f t="shared" si="1"/>
        <v>0</v>
      </c>
    </row>
    <row r="19" spans="1:12" x14ac:dyDescent="0.35">
      <c r="A19" s="12" t="s">
        <v>13</v>
      </c>
      <c r="B19" s="12" t="s">
        <v>7</v>
      </c>
      <c r="C19" s="12">
        <v>1</v>
      </c>
      <c r="D19" s="12" t="s">
        <v>14</v>
      </c>
      <c r="E19" s="12" t="s">
        <v>36</v>
      </c>
      <c r="F19" s="12" t="s">
        <v>9</v>
      </c>
      <c r="G19" s="12">
        <f>Overview!$C$4</f>
        <v>5</v>
      </c>
      <c r="H19" s="13"/>
      <c r="I19" s="12" t="str">
        <f t="shared" si="0"/>
        <v>Not started</v>
      </c>
      <c r="J19" s="14"/>
      <c r="K19" s="15"/>
      <c r="L19" s="16">
        <f t="shared" si="1"/>
        <v>0</v>
      </c>
    </row>
    <row r="20" spans="1:12" x14ac:dyDescent="0.35">
      <c r="A20" s="12" t="s">
        <v>13</v>
      </c>
      <c r="B20" s="12" t="s">
        <v>7</v>
      </c>
      <c r="C20" s="12">
        <v>1</v>
      </c>
      <c r="D20" s="12" t="s">
        <v>14</v>
      </c>
      <c r="E20" s="12" t="s">
        <v>36</v>
      </c>
      <c r="F20" s="12" t="s">
        <v>10</v>
      </c>
      <c r="G20" s="12">
        <f>Overview!$C$4</f>
        <v>5</v>
      </c>
      <c r="H20" s="13"/>
      <c r="I20" s="12" t="str">
        <f t="shared" si="0"/>
        <v>Not started</v>
      </c>
      <c r="J20" s="14"/>
      <c r="K20" s="15"/>
      <c r="L20" s="16">
        <f t="shared" si="1"/>
        <v>0</v>
      </c>
    </row>
    <row r="21" spans="1:12" x14ac:dyDescent="0.35">
      <c r="A21" s="12" t="s">
        <v>13</v>
      </c>
      <c r="B21" s="12" t="s">
        <v>7</v>
      </c>
      <c r="C21" s="12">
        <v>1</v>
      </c>
      <c r="D21" s="12" t="s">
        <v>14</v>
      </c>
      <c r="E21" s="12" t="s">
        <v>36</v>
      </c>
      <c r="F21" s="12" t="s">
        <v>11</v>
      </c>
      <c r="G21" s="12">
        <f>Overview!$C$4</f>
        <v>5</v>
      </c>
      <c r="H21" s="13"/>
      <c r="I21" s="12" t="str">
        <f t="shared" si="0"/>
        <v>Not started</v>
      </c>
      <c r="J21" s="14"/>
      <c r="K21" s="15"/>
      <c r="L21" s="16">
        <f t="shared" si="1"/>
        <v>0</v>
      </c>
    </row>
    <row r="22" spans="1:12" x14ac:dyDescent="0.35">
      <c r="A22" s="17" t="s">
        <v>13</v>
      </c>
      <c r="B22" s="17" t="s">
        <v>7</v>
      </c>
      <c r="C22" s="17">
        <v>2</v>
      </c>
      <c r="D22" s="17" t="s">
        <v>15</v>
      </c>
      <c r="E22" s="17" t="s">
        <v>38</v>
      </c>
      <c r="F22" s="17" t="s">
        <v>37</v>
      </c>
      <c r="G22" s="17">
        <v>1</v>
      </c>
      <c r="H22" s="13"/>
      <c r="I22" s="17" t="str">
        <f t="shared" si="0"/>
        <v>Not started</v>
      </c>
      <c r="J22" s="14"/>
      <c r="K22" s="15"/>
      <c r="L22" s="18">
        <f t="shared" si="1"/>
        <v>0</v>
      </c>
    </row>
    <row r="23" spans="1:12" x14ac:dyDescent="0.35">
      <c r="A23" s="17" t="s">
        <v>13</v>
      </c>
      <c r="B23" s="17" t="s">
        <v>7</v>
      </c>
      <c r="C23" s="17">
        <v>2</v>
      </c>
      <c r="D23" s="17" t="s">
        <v>15</v>
      </c>
      <c r="E23" s="17" t="s">
        <v>38</v>
      </c>
      <c r="F23" s="17" t="s">
        <v>9</v>
      </c>
      <c r="G23" s="17">
        <f>Overview!$C$4</f>
        <v>5</v>
      </c>
      <c r="H23" s="13"/>
      <c r="I23" s="17" t="str">
        <f t="shared" si="0"/>
        <v>Not started</v>
      </c>
      <c r="J23" s="14"/>
      <c r="K23" s="15"/>
      <c r="L23" s="18">
        <f t="shared" si="1"/>
        <v>0</v>
      </c>
    </row>
    <row r="24" spans="1:12" x14ac:dyDescent="0.35">
      <c r="A24" s="17" t="s">
        <v>13</v>
      </c>
      <c r="B24" s="17" t="s">
        <v>7</v>
      </c>
      <c r="C24" s="17">
        <v>2</v>
      </c>
      <c r="D24" s="17" t="s">
        <v>15</v>
      </c>
      <c r="E24" s="17" t="s">
        <v>38</v>
      </c>
      <c r="F24" s="17" t="s">
        <v>10</v>
      </c>
      <c r="G24" s="17">
        <f>Overview!$C$4</f>
        <v>5</v>
      </c>
      <c r="H24" s="13"/>
      <c r="I24" s="17" t="str">
        <f t="shared" si="0"/>
        <v>Not started</v>
      </c>
      <c r="J24" s="14"/>
      <c r="K24" s="15"/>
      <c r="L24" s="18">
        <f t="shared" si="1"/>
        <v>0</v>
      </c>
    </row>
    <row r="25" spans="1:12" x14ac:dyDescent="0.35">
      <c r="A25" s="17" t="s">
        <v>13</v>
      </c>
      <c r="B25" s="17" t="s">
        <v>7</v>
      </c>
      <c r="C25" s="17">
        <v>2</v>
      </c>
      <c r="D25" s="17" t="s">
        <v>15</v>
      </c>
      <c r="E25" s="17" t="s">
        <v>38</v>
      </c>
      <c r="F25" s="17" t="s">
        <v>11</v>
      </c>
      <c r="G25" s="17">
        <f>Overview!$C$4</f>
        <v>5</v>
      </c>
      <c r="H25" s="13"/>
      <c r="I25" s="17" t="str">
        <f t="shared" si="0"/>
        <v>Not started</v>
      </c>
      <c r="J25" s="14"/>
      <c r="K25" s="15"/>
      <c r="L25" s="18">
        <f t="shared" si="1"/>
        <v>0</v>
      </c>
    </row>
    <row r="26" spans="1:12" x14ac:dyDescent="0.35">
      <c r="A26" s="12" t="s">
        <v>13</v>
      </c>
      <c r="B26" s="12" t="s">
        <v>7</v>
      </c>
      <c r="C26" s="12">
        <v>3</v>
      </c>
      <c r="D26" s="12" t="s">
        <v>14</v>
      </c>
      <c r="E26" s="12" t="s">
        <v>39</v>
      </c>
      <c r="F26" s="12" t="s">
        <v>37</v>
      </c>
      <c r="G26" s="12">
        <v>1</v>
      </c>
      <c r="H26" s="13"/>
      <c r="I26" s="12" t="str">
        <f t="shared" si="0"/>
        <v>Not started</v>
      </c>
      <c r="J26" s="14"/>
      <c r="K26" s="15"/>
      <c r="L26" s="16">
        <f t="shared" si="1"/>
        <v>0</v>
      </c>
    </row>
    <row r="27" spans="1:12" x14ac:dyDescent="0.35">
      <c r="A27" s="12" t="s">
        <v>13</v>
      </c>
      <c r="B27" s="12" t="s">
        <v>7</v>
      </c>
      <c r="C27" s="12">
        <v>3</v>
      </c>
      <c r="D27" s="12" t="s">
        <v>14</v>
      </c>
      <c r="E27" s="12" t="s">
        <v>39</v>
      </c>
      <c r="F27" s="12" t="s">
        <v>9</v>
      </c>
      <c r="G27" s="12">
        <f>Overview!$C$4</f>
        <v>5</v>
      </c>
      <c r="H27" s="13"/>
      <c r="I27" s="12" t="str">
        <f t="shared" si="0"/>
        <v>Not started</v>
      </c>
      <c r="J27" s="14"/>
      <c r="K27" s="15"/>
      <c r="L27" s="16">
        <f t="shared" si="1"/>
        <v>0</v>
      </c>
    </row>
    <row r="28" spans="1:12" x14ac:dyDescent="0.35">
      <c r="A28" s="12" t="s">
        <v>13</v>
      </c>
      <c r="B28" s="12" t="s">
        <v>7</v>
      </c>
      <c r="C28" s="12">
        <v>3</v>
      </c>
      <c r="D28" s="12" t="s">
        <v>14</v>
      </c>
      <c r="E28" s="12" t="s">
        <v>39</v>
      </c>
      <c r="F28" s="12" t="s">
        <v>10</v>
      </c>
      <c r="G28" s="12">
        <f>Overview!$C$4</f>
        <v>5</v>
      </c>
      <c r="H28" s="13"/>
      <c r="I28" s="12" t="str">
        <f t="shared" si="0"/>
        <v>Not started</v>
      </c>
      <c r="J28" s="14"/>
      <c r="K28" s="15"/>
      <c r="L28" s="16">
        <f t="shared" si="1"/>
        <v>0</v>
      </c>
    </row>
    <row r="29" spans="1:12" x14ac:dyDescent="0.35">
      <c r="A29" s="12" t="s">
        <v>13</v>
      </c>
      <c r="B29" s="12" t="s">
        <v>7</v>
      </c>
      <c r="C29" s="12">
        <v>3</v>
      </c>
      <c r="D29" s="12" t="s">
        <v>14</v>
      </c>
      <c r="E29" s="12" t="s">
        <v>39</v>
      </c>
      <c r="F29" s="12" t="s">
        <v>11</v>
      </c>
      <c r="G29" s="12">
        <f>Overview!$C$4</f>
        <v>5</v>
      </c>
      <c r="H29" s="13"/>
      <c r="I29" s="12" t="str">
        <f t="shared" si="0"/>
        <v>Not started</v>
      </c>
      <c r="J29" s="14"/>
      <c r="K29" s="15"/>
      <c r="L29" s="16">
        <f t="shared" si="1"/>
        <v>0</v>
      </c>
    </row>
    <row r="30" spans="1:12" x14ac:dyDescent="0.35">
      <c r="A30" s="17" t="s">
        <v>13</v>
      </c>
      <c r="B30" s="17" t="s">
        <v>7</v>
      </c>
      <c r="C30" s="17">
        <v>4</v>
      </c>
      <c r="D30" s="17" t="s">
        <v>15</v>
      </c>
      <c r="E30" s="17" t="s">
        <v>40</v>
      </c>
      <c r="F30" s="17" t="s">
        <v>37</v>
      </c>
      <c r="G30" s="17">
        <v>1</v>
      </c>
      <c r="H30" s="13"/>
      <c r="I30" s="17" t="str">
        <f t="shared" si="0"/>
        <v>Not started</v>
      </c>
      <c r="J30" s="14"/>
      <c r="K30" s="15"/>
      <c r="L30" s="18">
        <f t="shared" si="1"/>
        <v>0</v>
      </c>
    </row>
    <row r="31" spans="1:12" x14ac:dyDescent="0.35">
      <c r="A31" s="17" t="s">
        <v>13</v>
      </c>
      <c r="B31" s="17" t="s">
        <v>7</v>
      </c>
      <c r="C31" s="17">
        <v>4</v>
      </c>
      <c r="D31" s="17" t="s">
        <v>15</v>
      </c>
      <c r="E31" s="17" t="s">
        <v>40</v>
      </c>
      <c r="F31" s="17" t="s">
        <v>9</v>
      </c>
      <c r="G31" s="17">
        <f>Overview!$C$4</f>
        <v>5</v>
      </c>
      <c r="H31" s="13"/>
      <c r="I31" s="17" t="str">
        <f t="shared" si="0"/>
        <v>Not started</v>
      </c>
      <c r="J31" s="14"/>
      <c r="K31" s="15"/>
      <c r="L31" s="18">
        <f t="shared" si="1"/>
        <v>0</v>
      </c>
    </row>
    <row r="32" spans="1:12" x14ac:dyDescent="0.35">
      <c r="A32" s="17" t="s">
        <v>13</v>
      </c>
      <c r="B32" s="17" t="s">
        <v>7</v>
      </c>
      <c r="C32" s="17">
        <v>4</v>
      </c>
      <c r="D32" s="17" t="s">
        <v>15</v>
      </c>
      <c r="E32" s="17" t="s">
        <v>40</v>
      </c>
      <c r="F32" s="17" t="s">
        <v>10</v>
      </c>
      <c r="G32" s="17">
        <f>Overview!$C$4</f>
        <v>5</v>
      </c>
      <c r="H32" s="13"/>
      <c r="I32" s="17" t="str">
        <f t="shared" si="0"/>
        <v>Not started</v>
      </c>
      <c r="J32" s="14"/>
      <c r="K32" s="15"/>
      <c r="L32" s="18">
        <f t="shared" si="1"/>
        <v>0</v>
      </c>
    </row>
    <row r="33" spans="1:12" x14ac:dyDescent="0.35">
      <c r="A33" s="17" t="s">
        <v>13</v>
      </c>
      <c r="B33" s="17" t="s">
        <v>7</v>
      </c>
      <c r="C33" s="17">
        <v>4</v>
      </c>
      <c r="D33" s="17" t="s">
        <v>15</v>
      </c>
      <c r="E33" s="17" t="s">
        <v>40</v>
      </c>
      <c r="F33" s="17" t="s">
        <v>11</v>
      </c>
      <c r="G33" s="17">
        <f>Overview!$C$4</f>
        <v>5</v>
      </c>
      <c r="H33" s="13"/>
      <c r="I33" s="17" t="str">
        <f t="shared" si="0"/>
        <v>Not started</v>
      </c>
      <c r="J33" s="14"/>
      <c r="K33" s="15"/>
      <c r="L33" s="18">
        <f t="shared" si="1"/>
        <v>0</v>
      </c>
    </row>
    <row r="34" spans="1:12" x14ac:dyDescent="0.35">
      <c r="A34" s="12" t="s">
        <v>16</v>
      </c>
      <c r="B34" s="12" t="s">
        <v>6</v>
      </c>
      <c r="C34" s="12">
        <v>1</v>
      </c>
      <c r="D34" s="12" t="s">
        <v>14</v>
      </c>
      <c r="E34" s="12" t="s">
        <v>41</v>
      </c>
      <c r="F34" s="12" t="s">
        <v>37</v>
      </c>
      <c r="G34" s="12">
        <v>1</v>
      </c>
      <c r="H34" s="13"/>
      <c r="I34" s="12" t="str">
        <f t="shared" ref="I34:I65" si="2">IF(H34="","Not started",IF(H34&gt;=G34,"Done","Partial"))</f>
        <v>Not started</v>
      </c>
      <c r="J34" s="14"/>
      <c r="K34" s="15"/>
      <c r="L34" s="16">
        <f t="shared" ref="L34:L65" si="3">MIN(N(H34),G34)</f>
        <v>0</v>
      </c>
    </row>
    <row r="35" spans="1:12" x14ac:dyDescent="0.35">
      <c r="A35" s="12" t="s">
        <v>16</v>
      </c>
      <c r="B35" s="12" t="s">
        <v>6</v>
      </c>
      <c r="C35" s="12">
        <v>1</v>
      </c>
      <c r="D35" s="12" t="s">
        <v>14</v>
      </c>
      <c r="E35" s="12" t="s">
        <v>41</v>
      </c>
      <c r="F35" s="12" t="s">
        <v>9</v>
      </c>
      <c r="G35" s="12">
        <f>Overview!$C$4</f>
        <v>5</v>
      </c>
      <c r="H35" s="13"/>
      <c r="I35" s="12" t="str">
        <f t="shared" si="2"/>
        <v>Not started</v>
      </c>
      <c r="J35" s="14"/>
      <c r="K35" s="15"/>
      <c r="L35" s="16">
        <f t="shared" si="3"/>
        <v>0</v>
      </c>
    </row>
    <row r="36" spans="1:12" x14ac:dyDescent="0.35">
      <c r="A36" s="12" t="s">
        <v>16</v>
      </c>
      <c r="B36" s="12" t="s">
        <v>6</v>
      </c>
      <c r="C36" s="12">
        <v>1</v>
      </c>
      <c r="D36" s="12" t="s">
        <v>14</v>
      </c>
      <c r="E36" s="12" t="s">
        <v>41</v>
      </c>
      <c r="F36" s="12" t="s">
        <v>10</v>
      </c>
      <c r="G36" s="12">
        <f>Overview!$C$4</f>
        <v>5</v>
      </c>
      <c r="H36" s="13"/>
      <c r="I36" s="12" t="str">
        <f t="shared" si="2"/>
        <v>Not started</v>
      </c>
      <c r="J36" s="14"/>
      <c r="K36" s="15"/>
      <c r="L36" s="16">
        <f t="shared" si="3"/>
        <v>0</v>
      </c>
    </row>
    <row r="37" spans="1:12" x14ac:dyDescent="0.35">
      <c r="A37" s="12" t="s">
        <v>16</v>
      </c>
      <c r="B37" s="12" t="s">
        <v>6</v>
      </c>
      <c r="C37" s="12">
        <v>1</v>
      </c>
      <c r="D37" s="12" t="s">
        <v>14</v>
      </c>
      <c r="E37" s="12" t="s">
        <v>41</v>
      </c>
      <c r="F37" s="12" t="s">
        <v>11</v>
      </c>
      <c r="G37" s="12">
        <f>Overview!$C$4</f>
        <v>5</v>
      </c>
      <c r="H37" s="13"/>
      <c r="I37" s="12" t="str">
        <f t="shared" si="2"/>
        <v>Not started</v>
      </c>
      <c r="J37" s="14"/>
      <c r="K37" s="15"/>
      <c r="L37" s="16">
        <f t="shared" si="3"/>
        <v>0</v>
      </c>
    </row>
    <row r="38" spans="1:12" x14ac:dyDescent="0.35">
      <c r="A38" s="17" t="s">
        <v>16</v>
      </c>
      <c r="B38" s="17" t="s">
        <v>6</v>
      </c>
      <c r="C38" s="17">
        <v>2</v>
      </c>
      <c r="D38" s="17" t="s">
        <v>15</v>
      </c>
      <c r="E38" s="17" t="s">
        <v>42</v>
      </c>
      <c r="F38" s="17" t="s">
        <v>37</v>
      </c>
      <c r="G38" s="17">
        <v>1</v>
      </c>
      <c r="H38" s="13"/>
      <c r="I38" s="17" t="str">
        <f t="shared" si="2"/>
        <v>Not started</v>
      </c>
      <c r="J38" s="14"/>
      <c r="K38" s="15"/>
      <c r="L38" s="18">
        <f t="shared" si="3"/>
        <v>0</v>
      </c>
    </row>
    <row r="39" spans="1:12" x14ac:dyDescent="0.35">
      <c r="A39" s="17" t="s">
        <v>16</v>
      </c>
      <c r="B39" s="17" t="s">
        <v>6</v>
      </c>
      <c r="C39" s="17">
        <v>2</v>
      </c>
      <c r="D39" s="17" t="s">
        <v>15</v>
      </c>
      <c r="E39" s="17" t="s">
        <v>42</v>
      </c>
      <c r="F39" s="17" t="s">
        <v>9</v>
      </c>
      <c r="G39" s="17">
        <f>Overview!$C$4</f>
        <v>5</v>
      </c>
      <c r="H39" s="13"/>
      <c r="I39" s="17" t="str">
        <f t="shared" si="2"/>
        <v>Not started</v>
      </c>
      <c r="J39" s="14"/>
      <c r="K39" s="15"/>
      <c r="L39" s="18">
        <f t="shared" si="3"/>
        <v>0</v>
      </c>
    </row>
    <row r="40" spans="1:12" x14ac:dyDescent="0.35">
      <c r="A40" s="17" t="s">
        <v>16</v>
      </c>
      <c r="B40" s="17" t="s">
        <v>6</v>
      </c>
      <c r="C40" s="17">
        <v>2</v>
      </c>
      <c r="D40" s="17" t="s">
        <v>15</v>
      </c>
      <c r="E40" s="17" t="s">
        <v>42</v>
      </c>
      <c r="F40" s="17" t="s">
        <v>10</v>
      </c>
      <c r="G40" s="17">
        <f>Overview!$C$4</f>
        <v>5</v>
      </c>
      <c r="H40" s="13"/>
      <c r="I40" s="17" t="str">
        <f t="shared" si="2"/>
        <v>Not started</v>
      </c>
      <c r="J40" s="14"/>
      <c r="K40" s="15"/>
      <c r="L40" s="18">
        <f t="shared" si="3"/>
        <v>0</v>
      </c>
    </row>
    <row r="41" spans="1:12" x14ac:dyDescent="0.35">
      <c r="A41" s="17" t="s">
        <v>16</v>
      </c>
      <c r="B41" s="17" t="s">
        <v>6</v>
      </c>
      <c r="C41" s="17">
        <v>2</v>
      </c>
      <c r="D41" s="17" t="s">
        <v>15</v>
      </c>
      <c r="E41" s="17" t="s">
        <v>42</v>
      </c>
      <c r="F41" s="17" t="s">
        <v>11</v>
      </c>
      <c r="G41" s="17">
        <f>Overview!$C$4</f>
        <v>5</v>
      </c>
      <c r="H41" s="13"/>
      <c r="I41" s="17" t="str">
        <f t="shared" si="2"/>
        <v>Not started</v>
      </c>
      <c r="J41" s="14"/>
      <c r="K41" s="15"/>
      <c r="L41" s="18">
        <f t="shared" si="3"/>
        <v>0</v>
      </c>
    </row>
    <row r="42" spans="1:12" x14ac:dyDescent="0.35">
      <c r="A42" s="12" t="s">
        <v>16</v>
      </c>
      <c r="B42" s="12" t="s">
        <v>6</v>
      </c>
      <c r="C42" s="12">
        <v>3</v>
      </c>
      <c r="D42" s="12" t="s">
        <v>14</v>
      </c>
      <c r="E42" s="12" t="s">
        <v>43</v>
      </c>
      <c r="F42" s="12" t="s">
        <v>37</v>
      </c>
      <c r="G42" s="12">
        <v>1</v>
      </c>
      <c r="H42" s="13"/>
      <c r="I42" s="12" t="str">
        <f t="shared" si="2"/>
        <v>Not started</v>
      </c>
      <c r="J42" s="14"/>
      <c r="K42" s="15"/>
      <c r="L42" s="16">
        <f t="shared" si="3"/>
        <v>0</v>
      </c>
    </row>
    <row r="43" spans="1:12" x14ac:dyDescent="0.35">
      <c r="A43" s="12" t="s">
        <v>16</v>
      </c>
      <c r="B43" s="12" t="s">
        <v>6</v>
      </c>
      <c r="C43" s="12">
        <v>3</v>
      </c>
      <c r="D43" s="12" t="s">
        <v>14</v>
      </c>
      <c r="E43" s="12" t="s">
        <v>43</v>
      </c>
      <c r="F43" s="12" t="s">
        <v>9</v>
      </c>
      <c r="G43" s="12">
        <f>Overview!$C$4</f>
        <v>5</v>
      </c>
      <c r="H43" s="13"/>
      <c r="I43" s="12" t="str">
        <f t="shared" si="2"/>
        <v>Not started</v>
      </c>
      <c r="J43" s="14"/>
      <c r="K43" s="15"/>
      <c r="L43" s="16">
        <f t="shared" si="3"/>
        <v>0</v>
      </c>
    </row>
    <row r="44" spans="1:12" x14ac:dyDescent="0.35">
      <c r="A44" s="12" t="s">
        <v>16</v>
      </c>
      <c r="B44" s="12" t="s">
        <v>6</v>
      </c>
      <c r="C44" s="12">
        <v>3</v>
      </c>
      <c r="D44" s="12" t="s">
        <v>14</v>
      </c>
      <c r="E44" s="12" t="s">
        <v>43</v>
      </c>
      <c r="F44" s="12" t="s">
        <v>10</v>
      </c>
      <c r="G44" s="12">
        <f>Overview!$C$4</f>
        <v>5</v>
      </c>
      <c r="H44" s="13"/>
      <c r="I44" s="12" t="str">
        <f t="shared" si="2"/>
        <v>Not started</v>
      </c>
      <c r="J44" s="14"/>
      <c r="K44" s="15"/>
      <c r="L44" s="16">
        <f t="shared" si="3"/>
        <v>0</v>
      </c>
    </row>
    <row r="45" spans="1:12" x14ac:dyDescent="0.35">
      <c r="A45" s="12" t="s">
        <v>16</v>
      </c>
      <c r="B45" s="12" t="s">
        <v>6</v>
      </c>
      <c r="C45" s="12">
        <v>3</v>
      </c>
      <c r="D45" s="12" t="s">
        <v>14</v>
      </c>
      <c r="E45" s="12" t="s">
        <v>43</v>
      </c>
      <c r="F45" s="12" t="s">
        <v>11</v>
      </c>
      <c r="G45" s="12">
        <f>Overview!$C$4</f>
        <v>5</v>
      </c>
      <c r="H45" s="13"/>
      <c r="I45" s="12" t="str">
        <f t="shared" si="2"/>
        <v>Not started</v>
      </c>
      <c r="J45" s="14"/>
      <c r="K45" s="15"/>
      <c r="L45" s="16">
        <f t="shared" si="3"/>
        <v>0</v>
      </c>
    </row>
    <row r="46" spans="1:12" x14ac:dyDescent="0.35">
      <c r="A46" s="17" t="s">
        <v>16</v>
      </c>
      <c r="B46" s="17" t="s">
        <v>6</v>
      </c>
      <c r="C46" s="17">
        <v>4</v>
      </c>
      <c r="D46" s="17" t="s">
        <v>15</v>
      </c>
      <c r="E46" s="17" t="s">
        <v>44</v>
      </c>
      <c r="F46" s="17" t="s">
        <v>37</v>
      </c>
      <c r="G46" s="17">
        <v>1</v>
      </c>
      <c r="H46" s="13"/>
      <c r="I46" s="17" t="str">
        <f t="shared" si="2"/>
        <v>Not started</v>
      </c>
      <c r="J46" s="14"/>
      <c r="K46" s="15"/>
      <c r="L46" s="18">
        <f t="shared" si="3"/>
        <v>0</v>
      </c>
    </row>
    <row r="47" spans="1:12" x14ac:dyDescent="0.35">
      <c r="A47" s="17" t="s">
        <v>16</v>
      </c>
      <c r="B47" s="17" t="s">
        <v>6</v>
      </c>
      <c r="C47" s="17">
        <v>4</v>
      </c>
      <c r="D47" s="17" t="s">
        <v>15</v>
      </c>
      <c r="E47" s="17" t="s">
        <v>44</v>
      </c>
      <c r="F47" s="17" t="s">
        <v>9</v>
      </c>
      <c r="G47" s="17">
        <f>Overview!$C$4</f>
        <v>5</v>
      </c>
      <c r="H47" s="13"/>
      <c r="I47" s="17" t="str">
        <f t="shared" si="2"/>
        <v>Not started</v>
      </c>
      <c r="J47" s="14"/>
      <c r="K47" s="15"/>
      <c r="L47" s="18">
        <f t="shared" si="3"/>
        <v>0</v>
      </c>
    </row>
    <row r="48" spans="1:12" x14ac:dyDescent="0.35">
      <c r="A48" s="17" t="s">
        <v>16</v>
      </c>
      <c r="B48" s="17" t="s">
        <v>6</v>
      </c>
      <c r="C48" s="17">
        <v>4</v>
      </c>
      <c r="D48" s="17" t="s">
        <v>15</v>
      </c>
      <c r="E48" s="17" t="s">
        <v>44</v>
      </c>
      <c r="F48" s="17" t="s">
        <v>10</v>
      </c>
      <c r="G48" s="17">
        <f>Overview!$C$4</f>
        <v>5</v>
      </c>
      <c r="H48" s="13"/>
      <c r="I48" s="17" t="str">
        <f t="shared" si="2"/>
        <v>Not started</v>
      </c>
      <c r="J48" s="14"/>
      <c r="K48" s="15"/>
      <c r="L48" s="18">
        <f t="shared" si="3"/>
        <v>0</v>
      </c>
    </row>
    <row r="49" spans="1:12" x14ac:dyDescent="0.35">
      <c r="A49" s="17" t="s">
        <v>16</v>
      </c>
      <c r="B49" s="17" t="s">
        <v>6</v>
      </c>
      <c r="C49" s="17">
        <v>4</v>
      </c>
      <c r="D49" s="17" t="s">
        <v>15</v>
      </c>
      <c r="E49" s="17" t="s">
        <v>44</v>
      </c>
      <c r="F49" s="17" t="s">
        <v>11</v>
      </c>
      <c r="G49" s="17">
        <f>Overview!$C$4</f>
        <v>5</v>
      </c>
      <c r="H49" s="13"/>
      <c r="I49" s="17" t="str">
        <f t="shared" si="2"/>
        <v>Not started</v>
      </c>
      <c r="J49" s="14"/>
      <c r="K49" s="15"/>
      <c r="L49" s="18">
        <f t="shared" si="3"/>
        <v>0</v>
      </c>
    </row>
    <row r="50" spans="1:12" x14ac:dyDescent="0.35">
      <c r="A50" s="12" t="s">
        <v>16</v>
      </c>
      <c r="B50" s="12" t="s">
        <v>7</v>
      </c>
      <c r="C50" s="12">
        <v>1</v>
      </c>
      <c r="D50" s="12" t="s">
        <v>14</v>
      </c>
      <c r="E50" s="12" t="s">
        <v>41</v>
      </c>
      <c r="F50" s="12" t="s">
        <v>37</v>
      </c>
      <c r="G50" s="12">
        <v>1</v>
      </c>
      <c r="H50" s="13"/>
      <c r="I50" s="12" t="str">
        <f t="shared" si="2"/>
        <v>Not started</v>
      </c>
      <c r="J50" s="14"/>
      <c r="K50" s="15"/>
      <c r="L50" s="16">
        <f t="shared" si="3"/>
        <v>0</v>
      </c>
    </row>
    <row r="51" spans="1:12" x14ac:dyDescent="0.35">
      <c r="A51" s="12" t="s">
        <v>16</v>
      </c>
      <c r="B51" s="12" t="s">
        <v>7</v>
      </c>
      <c r="C51" s="12">
        <v>1</v>
      </c>
      <c r="D51" s="12" t="s">
        <v>14</v>
      </c>
      <c r="E51" s="12" t="s">
        <v>41</v>
      </c>
      <c r="F51" s="12" t="s">
        <v>9</v>
      </c>
      <c r="G51" s="12">
        <f>Overview!$C$4</f>
        <v>5</v>
      </c>
      <c r="H51" s="13"/>
      <c r="I51" s="12" t="str">
        <f t="shared" si="2"/>
        <v>Not started</v>
      </c>
      <c r="J51" s="14"/>
      <c r="K51" s="15"/>
      <c r="L51" s="16">
        <f t="shared" si="3"/>
        <v>0</v>
      </c>
    </row>
    <row r="52" spans="1:12" x14ac:dyDescent="0.35">
      <c r="A52" s="12" t="s">
        <v>16</v>
      </c>
      <c r="B52" s="12" t="s">
        <v>7</v>
      </c>
      <c r="C52" s="12">
        <v>1</v>
      </c>
      <c r="D52" s="12" t="s">
        <v>14</v>
      </c>
      <c r="E52" s="12" t="s">
        <v>41</v>
      </c>
      <c r="F52" s="12" t="s">
        <v>10</v>
      </c>
      <c r="G52" s="12">
        <f>Overview!$C$4</f>
        <v>5</v>
      </c>
      <c r="H52" s="13"/>
      <c r="I52" s="12" t="str">
        <f t="shared" si="2"/>
        <v>Not started</v>
      </c>
      <c r="J52" s="14"/>
      <c r="K52" s="15"/>
      <c r="L52" s="16">
        <f t="shared" si="3"/>
        <v>0</v>
      </c>
    </row>
    <row r="53" spans="1:12" x14ac:dyDescent="0.35">
      <c r="A53" s="12" t="s">
        <v>16</v>
      </c>
      <c r="B53" s="12" t="s">
        <v>7</v>
      </c>
      <c r="C53" s="12">
        <v>1</v>
      </c>
      <c r="D53" s="12" t="s">
        <v>14</v>
      </c>
      <c r="E53" s="12" t="s">
        <v>41</v>
      </c>
      <c r="F53" s="12" t="s">
        <v>11</v>
      </c>
      <c r="G53" s="12">
        <f>Overview!$C$4</f>
        <v>5</v>
      </c>
      <c r="H53" s="13"/>
      <c r="I53" s="12" t="str">
        <f t="shared" si="2"/>
        <v>Not started</v>
      </c>
      <c r="J53" s="14"/>
      <c r="K53" s="15"/>
      <c r="L53" s="16">
        <f t="shared" si="3"/>
        <v>0</v>
      </c>
    </row>
    <row r="54" spans="1:12" x14ac:dyDescent="0.35">
      <c r="A54" s="17" t="s">
        <v>16</v>
      </c>
      <c r="B54" s="17" t="s">
        <v>7</v>
      </c>
      <c r="C54" s="17">
        <v>2</v>
      </c>
      <c r="D54" s="17" t="s">
        <v>15</v>
      </c>
      <c r="E54" s="17" t="s">
        <v>42</v>
      </c>
      <c r="F54" s="17" t="s">
        <v>37</v>
      </c>
      <c r="G54" s="17">
        <v>1</v>
      </c>
      <c r="H54" s="13"/>
      <c r="I54" s="17" t="str">
        <f t="shared" si="2"/>
        <v>Not started</v>
      </c>
      <c r="J54" s="14"/>
      <c r="K54" s="15"/>
      <c r="L54" s="18">
        <f t="shared" si="3"/>
        <v>0</v>
      </c>
    </row>
    <row r="55" spans="1:12" x14ac:dyDescent="0.35">
      <c r="A55" s="17" t="s">
        <v>16</v>
      </c>
      <c r="B55" s="17" t="s">
        <v>7</v>
      </c>
      <c r="C55" s="17">
        <v>2</v>
      </c>
      <c r="D55" s="17" t="s">
        <v>15</v>
      </c>
      <c r="E55" s="17" t="s">
        <v>42</v>
      </c>
      <c r="F55" s="17" t="s">
        <v>9</v>
      </c>
      <c r="G55" s="17">
        <f>Overview!$C$4</f>
        <v>5</v>
      </c>
      <c r="H55" s="13"/>
      <c r="I55" s="17" t="str">
        <f t="shared" si="2"/>
        <v>Not started</v>
      </c>
      <c r="J55" s="14"/>
      <c r="K55" s="15"/>
      <c r="L55" s="18">
        <f t="shared" si="3"/>
        <v>0</v>
      </c>
    </row>
    <row r="56" spans="1:12" x14ac:dyDescent="0.35">
      <c r="A56" s="17" t="s">
        <v>16</v>
      </c>
      <c r="B56" s="17" t="s">
        <v>7</v>
      </c>
      <c r="C56" s="17">
        <v>2</v>
      </c>
      <c r="D56" s="17" t="s">
        <v>15</v>
      </c>
      <c r="E56" s="17" t="s">
        <v>42</v>
      </c>
      <c r="F56" s="17" t="s">
        <v>10</v>
      </c>
      <c r="G56" s="17">
        <f>Overview!$C$4</f>
        <v>5</v>
      </c>
      <c r="H56" s="13"/>
      <c r="I56" s="17" t="str">
        <f t="shared" si="2"/>
        <v>Not started</v>
      </c>
      <c r="J56" s="14"/>
      <c r="K56" s="15"/>
      <c r="L56" s="18">
        <f t="shared" si="3"/>
        <v>0</v>
      </c>
    </row>
    <row r="57" spans="1:12" x14ac:dyDescent="0.35">
      <c r="A57" s="17" t="s">
        <v>16</v>
      </c>
      <c r="B57" s="17" t="s">
        <v>7</v>
      </c>
      <c r="C57" s="17">
        <v>2</v>
      </c>
      <c r="D57" s="17" t="s">
        <v>15</v>
      </c>
      <c r="E57" s="17" t="s">
        <v>42</v>
      </c>
      <c r="F57" s="17" t="s">
        <v>11</v>
      </c>
      <c r="G57" s="17">
        <f>Overview!$C$4</f>
        <v>5</v>
      </c>
      <c r="H57" s="13"/>
      <c r="I57" s="17" t="str">
        <f t="shared" si="2"/>
        <v>Not started</v>
      </c>
      <c r="J57" s="14"/>
      <c r="K57" s="15"/>
      <c r="L57" s="18">
        <f t="shared" si="3"/>
        <v>0</v>
      </c>
    </row>
    <row r="58" spans="1:12" x14ac:dyDescent="0.35">
      <c r="A58" s="12" t="s">
        <v>16</v>
      </c>
      <c r="B58" s="12" t="s">
        <v>7</v>
      </c>
      <c r="C58" s="12">
        <v>3</v>
      </c>
      <c r="D58" s="12" t="s">
        <v>14</v>
      </c>
      <c r="E58" s="12" t="s">
        <v>43</v>
      </c>
      <c r="F58" s="12" t="s">
        <v>37</v>
      </c>
      <c r="G58" s="12">
        <v>1</v>
      </c>
      <c r="H58" s="13"/>
      <c r="I58" s="12" t="str">
        <f t="shared" si="2"/>
        <v>Not started</v>
      </c>
      <c r="J58" s="14"/>
      <c r="K58" s="15"/>
      <c r="L58" s="16">
        <f t="shared" si="3"/>
        <v>0</v>
      </c>
    </row>
    <row r="59" spans="1:12" x14ac:dyDescent="0.35">
      <c r="A59" s="12" t="s">
        <v>16</v>
      </c>
      <c r="B59" s="12" t="s">
        <v>7</v>
      </c>
      <c r="C59" s="12">
        <v>3</v>
      </c>
      <c r="D59" s="12" t="s">
        <v>14</v>
      </c>
      <c r="E59" s="12" t="s">
        <v>43</v>
      </c>
      <c r="F59" s="12" t="s">
        <v>9</v>
      </c>
      <c r="G59" s="12">
        <f>Overview!$C$4</f>
        <v>5</v>
      </c>
      <c r="H59" s="13"/>
      <c r="I59" s="12" t="str">
        <f t="shared" si="2"/>
        <v>Not started</v>
      </c>
      <c r="J59" s="14"/>
      <c r="K59" s="15"/>
      <c r="L59" s="16">
        <f t="shared" si="3"/>
        <v>0</v>
      </c>
    </row>
    <row r="60" spans="1:12" x14ac:dyDescent="0.35">
      <c r="A60" s="12" t="s">
        <v>16</v>
      </c>
      <c r="B60" s="12" t="s">
        <v>7</v>
      </c>
      <c r="C60" s="12">
        <v>3</v>
      </c>
      <c r="D60" s="12" t="s">
        <v>14</v>
      </c>
      <c r="E60" s="12" t="s">
        <v>43</v>
      </c>
      <c r="F60" s="12" t="s">
        <v>10</v>
      </c>
      <c r="G60" s="12">
        <f>Overview!$C$4</f>
        <v>5</v>
      </c>
      <c r="H60" s="13"/>
      <c r="I60" s="12" t="str">
        <f t="shared" si="2"/>
        <v>Not started</v>
      </c>
      <c r="J60" s="14"/>
      <c r="K60" s="15"/>
      <c r="L60" s="16">
        <f t="shared" si="3"/>
        <v>0</v>
      </c>
    </row>
    <row r="61" spans="1:12" x14ac:dyDescent="0.35">
      <c r="A61" s="12" t="s">
        <v>16</v>
      </c>
      <c r="B61" s="12" t="s">
        <v>7</v>
      </c>
      <c r="C61" s="12">
        <v>3</v>
      </c>
      <c r="D61" s="12" t="s">
        <v>14</v>
      </c>
      <c r="E61" s="12" t="s">
        <v>43</v>
      </c>
      <c r="F61" s="12" t="s">
        <v>11</v>
      </c>
      <c r="G61" s="12">
        <f>Overview!$C$4</f>
        <v>5</v>
      </c>
      <c r="H61" s="13"/>
      <c r="I61" s="12" t="str">
        <f t="shared" si="2"/>
        <v>Not started</v>
      </c>
      <c r="J61" s="14"/>
      <c r="K61" s="15"/>
      <c r="L61" s="16">
        <f t="shared" si="3"/>
        <v>0</v>
      </c>
    </row>
    <row r="62" spans="1:12" x14ac:dyDescent="0.35">
      <c r="A62" s="17" t="s">
        <v>16</v>
      </c>
      <c r="B62" s="17" t="s">
        <v>7</v>
      </c>
      <c r="C62" s="17">
        <v>4</v>
      </c>
      <c r="D62" s="17" t="s">
        <v>15</v>
      </c>
      <c r="E62" s="17" t="s">
        <v>44</v>
      </c>
      <c r="F62" s="17" t="s">
        <v>37</v>
      </c>
      <c r="G62" s="17">
        <v>1</v>
      </c>
      <c r="H62" s="13"/>
      <c r="I62" s="17" t="str">
        <f t="shared" si="2"/>
        <v>Not started</v>
      </c>
      <c r="J62" s="14"/>
      <c r="K62" s="15"/>
      <c r="L62" s="18">
        <f t="shared" si="3"/>
        <v>0</v>
      </c>
    </row>
    <row r="63" spans="1:12" x14ac:dyDescent="0.35">
      <c r="A63" s="17" t="s">
        <v>16</v>
      </c>
      <c r="B63" s="17" t="s">
        <v>7</v>
      </c>
      <c r="C63" s="17">
        <v>4</v>
      </c>
      <c r="D63" s="17" t="s">
        <v>15</v>
      </c>
      <c r="E63" s="17" t="s">
        <v>44</v>
      </c>
      <c r="F63" s="17" t="s">
        <v>9</v>
      </c>
      <c r="G63" s="17">
        <f>Overview!$C$4</f>
        <v>5</v>
      </c>
      <c r="H63" s="13"/>
      <c r="I63" s="17" t="str">
        <f t="shared" si="2"/>
        <v>Not started</v>
      </c>
      <c r="J63" s="14"/>
      <c r="K63" s="15"/>
      <c r="L63" s="18">
        <f t="shared" si="3"/>
        <v>0</v>
      </c>
    </row>
    <row r="64" spans="1:12" x14ac:dyDescent="0.35">
      <c r="A64" s="17" t="s">
        <v>16</v>
      </c>
      <c r="B64" s="17" t="s">
        <v>7</v>
      </c>
      <c r="C64" s="17">
        <v>4</v>
      </c>
      <c r="D64" s="17" t="s">
        <v>15</v>
      </c>
      <c r="E64" s="17" t="s">
        <v>44</v>
      </c>
      <c r="F64" s="17" t="s">
        <v>10</v>
      </c>
      <c r="G64" s="17">
        <f>Overview!$C$4</f>
        <v>5</v>
      </c>
      <c r="H64" s="13"/>
      <c r="I64" s="17" t="str">
        <f t="shared" si="2"/>
        <v>Not started</v>
      </c>
      <c r="J64" s="14"/>
      <c r="K64" s="15"/>
      <c r="L64" s="18">
        <f t="shared" si="3"/>
        <v>0</v>
      </c>
    </row>
    <row r="65" spans="1:12" x14ac:dyDescent="0.35">
      <c r="A65" s="17" t="s">
        <v>16</v>
      </c>
      <c r="B65" s="17" t="s">
        <v>7</v>
      </c>
      <c r="C65" s="17">
        <v>4</v>
      </c>
      <c r="D65" s="17" t="s">
        <v>15</v>
      </c>
      <c r="E65" s="17" t="s">
        <v>44</v>
      </c>
      <c r="F65" s="17" t="s">
        <v>11</v>
      </c>
      <c r="G65" s="17">
        <f>Overview!$C$4</f>
        <v>5</v>
      </c>
      <c r="H65" s="13"/>
      <c r="I65" s="17" t="str">
        <f t="shared" si="2"/>
        <v>Not started</v>
      </c>
      <c r="J65" s="14"/>
      <c r="K65" s="15"/>
      <c r="L65" s="18">
        <f t="shared" si="3"/>
        <v>0</v>
      </c>
    </row>
    <row r="66" spans="1:12" x14ac:dyDescent="0.35">
      <c r="A66" s="12" t="s">
        <v>17</v>
      </c>
      <c r="B66" s="12" t="s">
        <v>6</v>
      </c>
      <c r="C66" s="12">
        <v>1</v>
      </c>
      <c r="D66" s="12" t="s">
        <v>14</v>
      </c>
      <c r="E66" s="12" t="s">
        <v>45</v>
      </c>
      <c r="F66" s="12" t="s">
        <v>37</v>
      </c>
      <c r="G66" s="12">
        <v>1</v>
      </c>
      <c r="H66" s="13"/>
      <c r="I66" s="12" t="str">
        <f t="shared" ref="I66:I97" si="4">IF(H66="","Not started",IF(H66&gt;=G66,"Done","Partial"))</f>
        <v>Not started</v>
      </c>
      <c r="J66" s="14"/>
      <c r="K66" s="15"/>
      <c r="L66" s="16">
        <f t="shared" ref="L66:L97" si="5">MIN(N(H66),G66)</f>
        <v>0</v>
      </c>
    </row>
    <row r="67" spans="1:12" x14ac:dyDescent="0.35">
      <c r="A67" s="12" t="s">
        <v>17</v>
      </c>
      <c r="B67" s="12" t="s">
        <v>6</v>
      </c>
      <c r="C67" s="12">
        <v>1</v>
      </c>
      <c r="D67" s="12" t="s">
        <v>14</v>
      </c>
      <c r="E67" s="12" t="s">
        <v>45</v>
      </c>
      <c r="F67" s="12" t="s">
        <v>9</v>
      </c>
      <c r="G67" s="12">
        <f>Overview!$C$4</f>
        <v>5</v>
      </c>
      <c r="H67" s="13"/>
      <c r="I67" s="12" t="str">
        <f t="shared" si="4"/>
        <v>Not started</v>
      </c>
      <c r="J67" s="14"/>
      <c r="K67" s="15"/>
      <c r="L67" s="16">
        <f t="shared" si="5"/>
        <v>0</v>
      </c>
    </row>
    <row r="68" spans="1:12" x14ac:dyDescent="0.35">
      <c r="A68" s="12" t="s">
        <v>17</v>
      </c>
      <c r="B68" s="12" t="s">
        <v>6</v>
      </c>
      <c r="C68" s="12">
        <v>1</v>
      </c>
      <c r="D68" s="12" t="s">
        <v>14</v>
      </c>
      <c r="E68" s="12" t="s">
        <v>45</v>
      </c>
      <c r="F68" s="12" t="s">
        <v>10</v>
      </c>
      <c r="G68" s="12">
        <f>Overview!$C$4</f>
        <v>5</v>
      </c>
      <c r="H68" s="13"/>
      <c r="I68" s="12" t="str">
        <f t="shared" si="4"/>
        <v>Not started</v>
      </c>
      <c r="J68" s="14"/>
      <c r="K68" s="15"/>
      <c r="L68" s="16">
        <f t="shared" si="5"/>
        <v>0</v>
      </c>
    </row>
    <row r="69" spans="1:12" x14ac:dyDescent="0.35">
      <c r="A69" s="12" t="s">
        <v>17</v>
      </c>
      <c r="B69" s="12" t="s">
        <v>6</v>
      </c>
      <c r="C69" s="12">
        <v>1</v>
      </c>
      <c r="D69" s="12" t="s">
        <v>14</v>
      </c>
      <c r="E69" s="12" t="s">
        <v>45</v>
      </c>
      <c r="F69" s="12" t="s">
        <v>11</v>
      </c>
      <c r="G69" s="12">
        <f>Overview!$C$4</f>
        <v>5</v>
      </c>
      <c r="H69" s="13"/>
      <c r="I69" s="12" t="str">
        <f t="shared" si="4"/>
        <v>Not started</v>
      </c>
      <c r="J69" s="14"/>
      <c r="K69" s="15"/>
      <c r="L69" s="16">
        <f t="shared" si="5"/>
        <v>0</v>
      </c>
    </row>
    <row r="70" spans="1:12" x14ac:dyDescent="0.35">
      <c r="A70" s="17" t="s">
        <v>17</v>
      </c>
      <c r="B70" s="17" t="s">
        <v>6</v>
      </c>
      <c r="C70" s="17">
        <v>2</v>
      </c>
      <c r="D70" s="17" t="s">
        <v>15</v>
      </c>
      <c r="E70" s="17" t="s">
        <v>46</v>
      </c>
      <c r="F70" s="17" t="s">
        <v>37</v>
      </c>
      <c r="G70" s="17">
        <v>1</v>
      </c>
      <c r="H70" s="13"/>
      <c r="I70" s="17" t="str">
        <f t="shared" si="4"/>
        <v>Not started</v>
      </c>
      <c r="J70" s="14"/>
      <c r="K70" s="15"/>
      <c r="L70" s="18">
        <f t="shared" si="5"/>
        <v>0</v>
      </c>
    </row>
    <row r="71" spans="1:12" x14ac:dyDescent="0.35">
      <c r="A71" s="17" t="s">
        <v>17</v>
      </c>
      <c r="B71" s="17" t="s">
        <v>6</v>
      </c>
      <c r="C71" s="17">
        <v>2</v>
      </c>
      <c r="D71" s="17" t="s">
        <v>15</v>
      </c>
      <c r="E71" s="17" t="s">
        <v>46</v>
      </c>
      <c r="F71" s="17" t="s">
        <v>9</v>
      </c>
      <c r="G71" s="17">
        <f>Overview!$C$4</f>
        <v>5</v>
      </c>
      <c r="H71" s="13"/>
      <c r="I71" s="17" t="str">
        <f t="shared" si="4"/>
        <v>Not started</v>
      </c>
      <c r="J71" s="14"/>
      <c r="K71" s="15"/>
      <c r="L71" s="18">
        <f t="shared" si="5"/>
        <v>0</v>
      </c>
    </row>
    <row r="72" spans="1:12" x14ac:dyDescent="0.35">
      <c r="A72" s="17" t="s">
        <v>17</v>
      </c>
      <c r="B72" s="17" t="s">
        <v>6</v>
      </c>
      <c r="C72" s="17">
        <v>2</v>
      </c>
      <c r="D72" s="17" t="s">
        <v>15</v>
      </c>
      <c r="E72" s="17" t="s">
        <v>46</v>
      </c>
      <c r="F72" s="17" t="s">
        <v>10</v>
      </c>
      <c r="G72" s="17">
        <f>Overview!$C$4</f>
        <v>5</v>
      </c>
      <c r="H72" s="13"/>
      <c r="I72" s="17" t="str">
        <f t="shared" si="4"/>
        <v>Not started</v>
      </c>
      <c r="J72" s="14"/>
      <c r="K72" s="15"/>
      <c r="L72" s="18">
        <f t="shared" si="5"/>
        <v>0</v>
      </c>
    </row>
    <row r="73" spans="1:12" x14ac:dyDescent="0.35">
      <c r="A73" s="17" t="s">
        <v>17</v>
      </c>
      <c r="B73" s="17" t="s">
        <v>6</v>
      </c>
      <c r="C73" s="17">
        <v>2</v>
      </c>
      <c r="D73" s="17" t="s">
        <v>15</v>
      </c>
      <c r="E73" s="17" t="s">
        <v>46</v>
      </c>
      <c r="F73" s="17" t="s">
        <v>11</v>
      </c>
      <c r="G73" s="17">
        <f>Overview!$C$4</f>
        <v>5</v>
      </c>
      <c r="H73" s="13"/>
      <c r="I73" s="17" t="str">
        <f t="shared" si="4"/>
        <v>Not started</v>
      </c>
      <c r="J73" s="14"/>
      <c r="K73" s="15"/>
      <c r="L73" s="18">
        <f t="shared" si="5"/>
        <v>0</v>
      </c>
    </row>
    <row r="74" spans="1:12" x14ac:dyDescent="0.35">
      <c r="A74" s="12" t="s">
        <v>17</v>
      </c>
      <c r="B74" s="12" t="s">
        <v>6</v>
      </c>
      <c r="C74" s="12">
        <v>3</v>
      </c>
      <c r="D74" s="12" t="s">
        <v>14</v>
      </c>
      <c r="E74" s="12" t="s">
        <v>47</v>
      </c>
      <c r="F74" s="12" t="s">
        <v>37</v>
      </c>
      <c r="G74" s="12">
        <v>1</v>
      </c>
      <c r="H74" s="13"/>
      <c r="I74" s="12" t="str">
        <f t="shared" si="4"/>
        <v>Not started</v>
      </c>
      <c r="J74" s="14"/>
      <c r="K74" s="15"/>
      <c r="L74" s="16">
        <f t="shared" si="5"/>
        <v>0</v>
      </c>
    </row>
    <row r="75" spans="1:12" x14ac:dyDescent="0.35">
      <c r="A75" s="12" t="s">
        <v>17</v>
      </c>
      <c r="B75" s="12" t="s">
        <v>6</v>
      </c>
      <c r="C75" s="12">
        <v>3</v>
      </c>
      <c r="D75" s="12" t="s">
        <v>14</v>
      </c>
      <c r="E75" s="12" t="s">
        <v>47</v>
      </c>
      <c r="F75" s="12" t="s">
        <v>9</v>
      </c>
      <c r="G75" s="12">
        <f>Overview!$C$4</f>
        <v>5</v>
      </c>
      <c r="H75" s="13"/>
      <c r="I75" s="12" t="str">
        <f t="shared" si="4"/>
        <v>Not started</v>
      </c>
      <c r="J75" s="14"/>
      <c r="K75" s="15"/>
      <c r="L75" s="16">
        <f t="shared" si="5"/>
        <v>0</v>
      </c>
    </row>
    <row r="76" spans="1:12" x14ac:dyDescent="0.35">
      <c r="A76" s="12" t="s">
        <v>17</v>
      </c>
      <c r="B76" s="12" t="s">
        <v>6</v>
      </c>
      <c r="C76" s="12">
        <v>3</v>
      </c>
      <c r="D76" s="12" t="s">
        <v>14</v>
      </c>
      <c r="E76" s="12" t="s">
        <v>47</v>
      </c>
      <c r="F76" s="12" t="s">
        <v>10</v>
      </c>
      <c r="G76" s="12">
        <f>Overview!$C$4</f>
        <v>5</v>
      </c>
      <c r="H76" s="13"/>
      <c r="I76" s="12" t="str">
        <f t="shared" si="4"/>
        <v>Not started</v>
      </c>
      <c r="J76" s="14"/>
      <c r="K76" s="15"/>
      <c r="L76" s="16">
        <f t="shared" si="5"/>
        <v>0</v>
      </c>
    </row>
    <row r="77" spans="1:12" x14ac:dyDescent="0.35">
      <c r="A77" s="12" t="s">
        <v>17</v>
      </c>
      <c r="B77" s="12" t="s">
        <v>6</v>
      </c>
      <c r="C77" s="12">
        <v>3</v>
      </c>
      <c r="D77" s="12" t="s">
        <v>14</v>
      </c>
      <c r="E77" s="12" t="s">
        <v>47</v>
      </c>
      <c r="F77" s="12" t="s">
        <v>11</v>
      </c>
      <c r="G77" s="12">
        <f>Overview!$C$4</f>
        <v>5</v>
      </c>
      <c r="H77" s="13"/>
      <c r="I77" s="12" t="str">
        <f t="shared" si="4"/>
        <v>Not started</v>
      </c>
      <c r="J77" s="14"/>
      <c r="K77" s="15"/>
      <c r="L77" s="16">
        <f t="shared" si="5"/>
        <v>0</v>
      </c>
    </row>
    <row r="78" spans="1:12" x14ac:dyDescent="0.35">
      <c r="A78" s="17" t="s">
        <v>17</v>
      </c>
      <c r="B78" s="17" t="s">
        <v>6</v>
      </c>
      <c r="C78" s="17">
        <v>4</v>
      </c>
      <c r="D78" s="17" t="s">
        <v>15</v>
      </c>
      <c r="E78" s="17" t="s">
        <v>48</v>
      </c>
      <c r="F78" s="17" t="s">
        <v>37</v>
      </c>
      <c r="G78" s="17">
        <v>1</v>
      </c>
      <c r="H78" s="13"/>
      <c r="I78" s="17" t="str">
        <f t="shared" si="4"/>
        <v>Not started</v>
      </c>
      <c r="J78" s="14"/>
      <c r="K78" s="15"/>
      <c r="L78" s="18">
        <f t="shared" si="5"/>
        <v>0</v>
      </c>
    </row>
    <row r="79" spans="1:12" x14ac:dyDescent="0.35">
      <c r="A79" s="17" t="s">
        <v>17</v>
      </c>
      <c r="B79" s="17" t="s">
        <v>6</v>
      </c>
      <c r="C79" s="17">
        <v>4</v>
      </c>
      <c r="D79" s="17" t="s">
        <v>15</v>
      </c>
      <c r="E79" s="17" t="s">
        <v>48</v>
      </c>
      <c r="F79" s="17" t="s">
        <v>9</v>
      </c>
      <c r="G79" s="17">
        <f>Overview!$C$4</f>
        <v>5</v>
      </c>
      <c r="H79" s="13"/>
      <c r="I79" s="17" t="str">
        <f t="shared" si="4"/>
        <v>Not started</v>
      </c>
      <c r="J79" s="14"/>
      <c r="K79" s="15"/>
      <c r="L79" s="18">
        <f t="shared" si="5"/>
        <v>0</v>
      </c>
    </row>
    <row r="80" spans="1:12" x14ac:dyDescent="0.35">
      <c r="A80" s="17" t="s">
        <v>17</v>
      </c>
      <c r="B80" s="17" t="s">
        <v>6</v>
      </c>
      <c r="C80" s="17">
        <v>4</v>
      </c>
      <c r="D80" s="17" t="s">
        <v>15</v>
      </c>
      <c r="E80" s="17" t="s">
        <v>48</v>
      </c>
      <c r="F80" s="17" t="s">
        <v>10</v>
      </c>
      <c r="G80" s="17">
        <f>Overview!$C$4</f>
        <v>5</v>
      </c>
      <c r="H80" s="13"/>
      <c r="I80" s="17" t="str">
        <f t="shared" si="4"/>
        <v>Not started</v>
      </c>
      <c r="J80" s="14"/>
      <c r="K80" s="15"/>
      <c r="L80" s="18">
        <f t="shared" si="5"/>
        <v>0</v>
      </c>
    </row>
    <row r="81" spans="1:12" x14ac:dyDescent="0.35">
      <c r="A81" s="17" t="s">
        <v>17</v>
      </c>
      <c r="B81" s="17" t="s">
        <v>6</v>
      </c>
      <c r="C81" s="17">
        <v>4</v>
      </c>
      <c r="D81" s="17" t="s">
        <v>15</v>
      </c>
      <c r="E81" s="17" t="s">
        <v>48</v>
      </c>
      <c r="F81" s="17" t="s">
        <v>11</v>
      </c>
      <c r="G81" s="17">
        <f>Overview!$C$4</f>
        <v>5</v>
      </c>
      <c r="H81" s="13"/>
      <c r="I81" s="17" t="str">
        <f t="shared" si="4"/>
        <v>Not started</v>
      </c>
      <c r="J81" s="14"/>
      <c r="K81" s="15"/>
      <c r="L81" s="18">
        <f t="shared" si="5"/>
        <v>0</v>
      </c>
    </row>
    <row r="82" spans="1:12" x14ac:dyDescent="0.35">
      <c r="A82" s="12" t="s">
        <v>17</v>
      </c>
      <c r="B82" s="12" t="s">
        <v>7</v>
      </c>
      <c r="C82" s="12">
        <v>1</v>
      </c>
      <c r="D82" s="12" t="s">
        <v>14</v>
      </c>
      <c r="E82" s="12" t="s">
        <v>45</v>
      </c>
      <c r="F82" s="12" t="s">
        <v>37</v>
      </c>
      <c r="G82" s="12">
        <v>1</v>
      </c>
      <c r="H82" s="13"/>
      <c r="I82" s="12" t="str">
        <f t="shared" si="4"/>
        <v>Not started</v>
      </c>
      <c r="J82" s="14"/>
      <c r="K82" s="15"/>
      <c r="L82" s="16">
        <f t="shared" si="5"/>
        <v>0</v>
      </c>
    </row>
    <row r="83" spans="1:12" x14ac:dyDescent="0.35">
      <c r="A83" s="12" t="s">
        <v>17</v>
      </c>
      <c r="B83" s="12" t="s">
        <v>7</v>
      </c>
      <c r="C83" s="12">
        <v>1</v>
      </c>
      <c r="D83" s="12" t="s">
        <v>14</v>
      </c>
      <c r="E83" s="12" t="s">
        <v>45</v>
      </c>
      <c r="F83" s="12" t="s">
        <v>9</v>
      </c>
      <c r="G83" s="12">
        <f>Overview!$C$4</f>
        <v>5</v>
      </c>
      <c r="H83" s="13"/>
      <c r="I83" s="12" t="str">
        <f t="shared" si="4"/>
        <v>Not started</v>
      </c>
      <c r="J83" s="14"/>
      <c r="K83" s="15"/>
      <c r="L83" s="16">
        <f t="shared" si="5"/>
        <v>0</v>
      </c>
    </row>
    <row r="84" spans="1:12" x14ac:dyDescent="0.35">
      <c r="A84" s="12" t="s">
        <v>17</v>
      </c>
      <c r="B84" s="12" t="s">
        <v>7</v>
      </c>
      <c r="C84" s="12">
        <v>1</v>
      </c>
      <c r="D84" s="12" t="s">
        <v>14</v>
      </c>
      <c r="E84" s="12" t="s">
        <v>45</v>
      </c>
      <c r="F84" s="12" t="s">
        <v>10</v>
      </c>
      <c r="G84" s="12">
        <f>Overview!$C$4</f>
        <v>5</v>
      </c>
      <c r="H84" s="13"/>
      <c r="I84" s="12" t="str">
        <f t="shared" si="4"/>
        <v>Not started</v>
      </c>
      <c r="J84" s="14"/>
      <c r="K84" s="15"/>
      <c r="L84" s="16">
        <f t="shared" si="5"/>
        <v>0</v>
      </c>
    </row>
    <row r="85" spans="1:12" x14ac:dyDescent="0.35">
      <c r="A85" s="12" t="s">
        <v>17</v>
      </c>
      <c r="B85" s="12" t="s">
        <v>7</v>
      </c>
      <c r="C85" s="12">
        <v>1</v>
      </c>
      <c r="D85" s="12" t="s">
        <v>14</v>
      </c>
      <c r="E85" s="12" t="s">
        <v>45</v>
      </c>
      <c r="F85" s="12" t="s">
        <v>11</v>
      </c>
      <c r="G85" s="12">
        <f>Overview!$C$4</f>
        <v>5</v>
      </c>
      <c r="H85" s="13"/>
      <c r="I85" s="12" t="str">
        <f t="shared" si="4"/>
        <v>Not started</v>
      </c>
      <c r="J85" s="14"/>
      <c r="K85" s="15"/>
      <c r="L85" s="16">
        <f t="shared" si="5"/>
        <v>0</v>
      </c>
    </row>
    <row r="86" spans="1:12" x14ac:dyDescent="0.35">
      <c r="A86" s="17" t="s">
        <v>17</v>
      </c>
      <c r="B86" s="17" t="s">
        <v>7</v>
      </c>
      <c r="C86" s="17">
        <v>2</v>
      </c>
      <c r="D86" s="17" t="s">
        <v>15</v>
      </c>
      <c r="E86" s="17" t="s">
        <v>46</v>
      </c>
      <c r="F86" s="17" t="s">
        <v>37</v>
      </c>
      <c r="G86" s="17">
        <v>1</v>
      </c>
      <c r="H86" s="13"/>
      <c r="I86" s="17" t="str">
        <f t="shared" si="4"/>
        <v>Not started</v>
      </c>
      <c r="J86" s="14"/>
      <c r="K86" s="15"/>
      <c r="L86" s="18">
        <f t="shared" si="5"/>
        <v>0</v>
      </c>
    </row>
    <row r="87" spans="1:12" x14ac:dyDescent="0.35">
      <c r="A87" s="17" t="s">
        <v>17</v>
      </c>
      <c r="B87" s="17" t="s">
        <v>7</v>
      </c>
      <c r="C87" s="17">
        <v>2</v>
      </c>
      <c r="D87" s="17" t="s">
        <v>15</v>
      </c>
      <c r="E87" s="17" t="s">
        <v>46</v>
      </c>
      <c r="F87" s="17" t="s">
        <v>9</v>
      </c>
      <c r="G87" s="17">
        <f>Overview!$C$4</f>
        <v>5</v>
      </c>
      <c r="H87" s="13"/>
      <c r="I87" s="17" t="str">
        <f t="shared" si="4"/>
        <v>Not started</v>
      </c>
      <c r="J87" s="14"/>
      <c r="K87" s="15"/>
      <c r="L87" s="18">
        <f t="shared" si="5"/>
        <v>0</v>
      </c>
    </row>
    <row r="88" spans="1:12" x14ac:dyDescent="0.35">
      <c r="A88" s="17" t="s">
        <v>17</v>
      </c>
      <c r="B88" s="17" t="s">
        <v>7</v>
      </c>
      <c r="C88" s="17">
        <v>2</v>
      </c>
      <c r="D88" s="17" t="s">
        <v>15</v>
      </c>
      <c r="E88" s="17" t="s">
        <v>46</v>
      </c>
      <c r="F88" s="17" t="s">
        <v>10</v>
      </c>
      <c r="G88" s="17">
        <f>Overview!$C$4</f>
        <v>5</v>
      </c>
      <c r="H88" s="13"/>
      <c r="I88" s="17" t="str">
        <f t="shared" si="4"/>
        <v>Not started</v>
      </c>
      <c r="J88" s="14"/>
      <c r="K88" s="15"/>
      <c r="L88" s="18">
        <f t="shared" si="5"/>
        <v>0</v>
      </c>
    </row>
    <row r="89" spans="1:12" x14ac:dyDescent="0.35">
      <c r="A89" s="17" t="s">
        <v>17</v>
      </c>
      <c r="B89" s="17" t="s">
        <v>7</v>
      </c>
      <c r="C89" s="17">
        <v>2</v>
      </c>
      <c r="D89" s="17" t="s">
        <v>15</v>
      </c>
      <c r="E89" s="17" t="s">
        <v>46</v>
      </c>
      <c r="F89" s="17" t="s">
        <v>11</v>
      </c>
      <c r="G89" s="17">
        <f>Overview!$C$4</f>
        <v>5</v>
      </c>
      <c r="H89" s="13"/>
      <c r="I89" s="17" t="str">
        <f t="shared" si="4"/>
        <v>Not started</v>
      </c>
      <c r="J89" s="14"/>
      <c r="K89" s="15"/>
      <c r="L89" s="18">
        <f t="shared" si="5"/>
        <v>0</v>
      </c>
    </row>
    <row r="90" spans="1:12" x14ac:dyDescent="0.35">
      <c r="A90" s="12" t="s">
        <v>17</v>
      </c>
      <c r="B90" s="12" t="s">
        <v>7</v>
      </c>
      <c r="C90" s="12">
        <v>3</v>
      </c>
      <c r="D90" s="12" t="s">
        <v>14</v>
      </c>
      <c r="E90" s="12" t="s">
        <v>47</v>
      </c>
      <c r="F90" s="12" t="s">
        <v>37</v>
      </c>
      <c r="G90" s="12">
        <v>1</v>
      </c>
      <c r="H90" s="13"/>
      <c r="I90" s="12" t="str">
        <f t="shared" si="4"/>
        <v>Not started</v>
      </c>
      <c r="J90" s="14"/>
      <c r="K90" s="15"/>
      <c r="L90" s="16">
        <f t="shared" si="5"/>
        <v>0</v>
      </c>
    </row>
    <row r="91" spans="1:12" x14ac:dyDescent="0.35">
      <c r="A91" s="12" t="s">
        <v>17</v>
      </c>
      <c r="B91" s="12" t="s">
        <v>7</v>
      </c>
      <c r="C91" s="12">
        <v>3</v>
      </c>
      <c r="D91" s="12" t="s">
        <v>14</v>
      </c>
      <c r="E91" s="12" t="s">
        <v>47</v>
      </c>
      <c r="F91" s="12" t="s">
        <v>9</v>
      </c>
      <c r="G91" s="12">
        <f>Overview!$C$4</f>
        <v>5</v>
      </c>
      <c r="H91" s="13"/>
      <c r="I91" s="12" t="str">
        <f t="shared" si="4"/>
        <v>Not started</v>
      </c>
      <c r="J91" s="14"/>
      <c r="K91" s="15"/>
      <c r="L91" s="16">
        <f t="shared" si="5"/>
        <v>0</v>
      </c>
    </row>
    <row r="92" spans="1:12" x14ac:dyDescent="0.35">
      <c r="A92" s="12" t="s">
        <v>17</v>
      </c>
      <c r="B92" s="12" t="s">
        <v>7</v>
      </c>
      <c r="C92" s="12">
        <v>3</v>
      </c>
      <c r="D92" s="12" t="s">
        <v>14</v>
      </c>
      <c r="E92" s="12" t="s">
        <v>47</v>
      </c>
      <c r="F92" s="12" t="s">
        <v>10</v>
      </c>
      <c r="G92" s="12">
        <f>Overview!$C$4</f>
        <v>5</v>
      </c>
      <c r="H92" s="13"/>
      <c r="I92" s="12" t="str">
        <f t="shared" si="4"/>
        <v>Not started</v>
      </c>
      <c r="J92" s="14"/>
      <c r="K92" s="15"/>
      <c r="L92" s="16">
        <f t="shared" si="5"/>
        <v>0</v>
      </c>
    </row>
    <row r="93" spans="1:12" x14ac:dyDescent="0.35">
      <c r="A93" s="12" t="s">
        <v>17</v>
      </c>
      <c r="B93" s="12" t="s">
        <v>7</v>
      </c>
      <c r="C93" s="12">
        <v>3</v>
      </c>
      <c r="D93" s="12" t="s">
        <v>14</v>
      </c>
      <c r="E93" s="12" t="s">
        <v>47</v>
      </c>
      <c r="F93" s="12" t="s">
        <v>11</v>
      </c>
      <c r="G93" s="12">
        <f>Overview!$C$4</f>
        <v>5</v>
      </c>
      <c r="H93" s="13"/>
      <c r="I93" s="12" t="str">
        <f t="shared" si="4"/>
        <v>Not started</v>
      </c>
      <c r="J93" s="14"/>
      <c r="K93" s="15"/>
      <c r="L93" s="16">
        <f t="shared" si="5"/>
        <v>0</v>
      </c>
    </row>
    <row r="94" spans="1:12" x14ac:dyDescent="0.35">
      <c r="A94" s="17" t="s">
        <v>17</v>
      </c>
      <c r="B94" s="17" t="s">
        <v>7</v>
      </c>
      <c r="C94" s="17">
        <v>4</v>
      </c>
      <c r="D94" s="17" t="s">
        <v>15</v>
      </c>
      <c r="E94" s="17" t="s">
        <v>48</v>
      </c>
      <c r="F94" s="17" t="s">
        <v>37</v>
      </c>
      <c r="G94" s="17">
        <v>1</v>
      </c>
      <c r="H94" s="13"/>
      <c r="I94" s="17" t="str">
        <f t="shared" si="4"/>
        <v>Not started</v>
      </c>
      <c r="J94" s="14"/>
      <c r="K94" s="15"/>
      <c r="L94" s="18">
        <f t="shared" si="5"/>
        <v>0</v>
      </c>
    </row>
    <row r="95" spans="1:12" x14ac:dyDescent="0.35">
      <c r="A95" s="17" t="s">
        <v>17</v>
      </c>
      <c r="B95" s="17" t="s">
        <v>7</v>
      </c>
      <c r="C95" s="17">
        <v>4</v>
      </c>
      <c r="D95" s="17" t="s">
        <v>15</v>
      </c>
      <c r="E95" s="17" t="s">
        <v>48</v>
      </c>
      <c r="F95" s="17" t="s">
        <v>9</v>
      </c>
      <c r="G95" s="17">
        <f>Overview!$C$4</f>
        <v>5</v>
      </c>
      <c r="H95" s="13"/>
      <c r="I95" s="17" t="str">
        <f t="shared" si="4"/>
        <v>Not started</v>
      </c>
      <c r="J95" s="14"/>
      <c r="K95" s="15"/>
      <c r="L95" s="18">
        <f t="shared" si="5"/>
        <v>0</v>
      </c>
    </row>
    <row r="96" spans="1:12" x14ac:dyDescent="0.35">
      <c r="A96" s="17" t="s">
        <v>17</v>
      </c>
      <c r="B96" s="17" t="s">
        <v>7</v>
      </c>
      <c r="C96" s="17">
        <v>4</v>
      </c>
      <c r="D96" s="17" t="s">
        <v>15</v>
      </c>
      <c r="E96" s="17" t="s">
        <v>48</v>
      </c>
      <c r="F96" s="17" t="s">
        <v>10</v>
      </c>
      <c r="G96" s="17">
        <f>Overview!$C$4</f>
        <v>5</v>
      </c>
      <c r="H96" s="13"/>
      <c r="I96" s="17" t="str">
        <f t="shared" si="4"/>
        <v>Not started</v>
      </c>
      <c r="J96" s="14"/>
      <c r="K96" s="15"/>
      <c r="L96" s="18">
        <f t="shared" si="5"/>
        <v>0</v>
      </c>
    </row>
    <row r="97" spans="1:12" x14ac:dyDescent="0.35">
      <c r="A97" s="17" t="s">
        <v>17</v>
      </c>
      <c r="B97" s="17" t="s">
        <v>7</v>
      </c>
      <c r="C97" s="17">
        <v>4</v>
      </c>
      <c r="D97" s="17" t="s">
        <v>15</v>
      </c>
      <c r="E97" s="17" t="s">
        <v>48</v>
      </c>
      <c r="F97" s="17" t="s">
        <v>11</v>
      </c>
      <c r="G97" s="17">
        <f>Overview!$C$4</f>
        <v>5</v>
      </c>
      <c r="H97" s="13"/>
      <c r="I97" s="17" t="str">
        <f t="shared" si="4"/>
        <v>Not started</v>
      </c>
      <c r="J97" s="14"/>
      <c r="K97" s="15"/>
      <c r="L97" s="18">
        <f t="shared" si="5"/>
        <v>0</v>
      </c>
    </row>
  </sheetData>
  <autoFilter ref="A1:L97" xr:uid="{00000000-0009-0000-0000-000001000000}"/>
  <conditionalFormatting sqref="I2:I97">
    <cfRule type="expression" dxfId="1" priority="1">
      <formula>$I2="Done"</formula>
    </cfRule>
    <cfRule type="expression" dxfId="0" priority="2">
      <formula>$I2="Partial"</formula>
    </cfRule>
  </conditionalFormatting>
  <dataValidations count="1">
    <dataValidation type="whole" showErrorMessage="1" error="Enter the number of good trials (0 to 20)." sqref="H2:H97" xr:uid="{00000000-0002-0000-0100-000000000000}">
      <formula1>0</formula1>
      <formula2>20</formula2>
    </dataValidation>
  </dataValidations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5"/>
  <sheetViews>
    <sheetView workbookViewId="0"/>
  </sheetViews>
  <sheetFormatPr defaultRowHeight="14.5" x14ac:dyDescent="0.35"/>
  <cols>
    <col min="1" max="1" width="10" customWidth="1"/>
    <col min="2" max="2" width="8" customWidth="1"/>
    <col min="3" max="3" width="7" customWidth="1"/>
    <col min="4" max="4" width="11" customWidth="1"/>
    <col min="5" max="5" width="16" customWidth="1"/>
    <col min="6" max="6" width="15" customWidth="1"/>
    <col min="7" max="8" width="9" customWidth="1"/>
    <col min="9" max="10" width="12" customWidth="1"/>
    <col min="11" max="11" width="40" customWidth="1"/>
  </cols>
  <sheetData>
    <row r="1" spans="1:11" ht="18" x14ac:dyDescent="0.4">
      <c r="A1" s="25" t="s">
        <v>49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35">
      <c r="A2" s="24"/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x14ac:dyDescent="0.35">
      <c r="A3" s="21" t="s">
        <v>50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1" x14ac:dyDescent="0.35">
      <c r="A4" s="24" t="s">
        <v>51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x14ac:dyDescent="0.35">
      <c r="A5" s="24" t="s">
        <v>52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11" x14ac:dyDescent="0.35">
      <c r="A6" s="24" t="s">
        <v>53</v>
      </c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11" x14ac:dyDescent="0.35">
      <c r="A7" s="24"/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11" x14ac:dyDescent="0.35">
      <c r="A8" s="24" t="s">
        <v>54</v>
      </c>
      <c r="B8" s="22"/>
      <c r="C8" s="22"/>
      <c r="D8" s="22"/>
      <c r="E8" s="22"/>
      <c r="F8" s="22"/>
      <c r="G8" s="22"/>
      <c r="H8" s="22"/>
      <c r="I8" s="22"/>
      <c r="J8" s="22"/>
      <c r="K8" s="22"/>
    </row>
    <row r="9" spans="1:11" x14ac:dyDescent="0.35">
      <c r="A9" s="24" t="s">
        <v>55</v>
      </c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11" x14ac:dyDescent="0.35">
      <c r="A10" s="24" t="s">
        <v>56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 spans="1:11" x14ac:dyDescent="0.35">
      <c r="A11" s="24" t="s">
        <v>57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 spans="1:11" x14ac:dyDescent="0.35">
      <c r="A12" s="24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x14ac:dyDescent="0.35">
      <c r="A13" s="21" t="s">
        <v>58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spans="1:11" x14ac:dyDescent="0.35">
      <c r="A14" s="4" t="s">
        <v>4</v>
      </c>
      <c r="B14" s="4" t="s">
        <v>26</v>
      </c>
      <c r="C14" s="4" t="s">
        <v>27</v>
      </c>
      <c r="D14" s="4" t="s">
        <v>5</v>
      </c>
      <c r="E14" s="4" t="s">
        <v>28</v>
      </c>
      <c r="F14" s="4" t="s">
        <v>29</v>
      </c>
      <c r="G14" s="4" t="s">
        <v>30</v>
      </c>
      <c r="H14" s="4" t="s">
        <v>31</v>
      </c>
      <c r="I14" s="4" t="s">
        <v>32</v>
      </c>
      <c r="J14" s="4" t="s">
        <v>33</v>
      </c>
      <c r="K14" s="4" t="s">
        <v>34</v>
      </c>
    </row>
    <row r="15" spans="1:11" x14ac:dyDescent="0.35">
      <c r="A15" s="12" t="s">
        <v>13</v>
      </c>
      <c r="B15" s="12" t="s">
        <v>6</v>
      </c>
      <c r="C15" s="12">
        <v>2</v>
      </c>
      <c r="D15" s="12" t="s">
        <v>15</v>
      </c>
      <c r="E15" s="12" t="s">
        <v>38</v>
      </c>
      <c r="F15" s="12" t="s">
        <v>10</v>
      </c>
      <c r="G15" s="12">
        <v>5</v>
      </c>
      <c r="H15" s="13">
        <v>4</v>
      </c>
      <c r="I15" s="12" t="s">
        <v>59</v>
      </c>
      <c r="J15" s="13" t="s">
        <v>60</v>
      </c>
      <c r="K15" s="13" t="s">
        <v>61</v>
      </c>
    </row>
  </sheetData>
  <mergeCells count="13">
    <mergeCell ref="A13:K13"/>
    <mergeCell ref="A7:K7"/>
    <mergeCell ref="A2:K2"/>
    <mergeCell ref="A9:K9"/>
    <mergeCell ref="A4:K4"/>
    <mergeCell ref="A12:K12"/>
    <mergeCell ref="A1:K1"/>
    <mergeCell ref="A6:K6"/>
    <mergeCell ref="A10:K10"/>
    <mergeCell ref="A8:K8"/>
    <mergeCell ref="A3:K3"/>
    <mergeCell ref="A5:K5"/>
    <mergeCell ref="A11:K1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Overview</vt:lpstr>
      <vt:lpstr>Trials</vt:lpstr>
      <vt:lpstr>How to use</vt:lpstr>
      <vt:lpstr>Trials!Print_Titles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Lombana Arias, Lucas</cp:lastModifiedBy>
  <dcterms:created xsi:type="dcterms:W3CDTF">2026-10-21T23:07:20Z</dcterms:created>
  <dcterms:modified xsi:type="dcterms:W3CDTF">2026-10-21T23:07:25Z</dcterms:modified>
</cp:coreProperties>
</file>