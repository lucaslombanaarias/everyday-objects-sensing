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Trials" sheetId="2" state="visible" r:id="rId4"/>
    <sheet name="How to use" sheetId="3" state="visible" r:id="rId5"/>
  </sheets>
  <definedNames>
    <definedName function="false" hidden="true" localSheetId="1" name="_xlnm._FilterDatabase" vbProcedure="false">Trials!$A$1:$L$29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<sst xmlns="http://schemas.openxmlformats.org/spreadsheetml/2006/main" count="273" uniqueCount="99">
  <si>
    <t xml:space="preserve">Floor test matrix: bare against enclosed</t>
  </si>
  <si>
    <t xml:space="preserve">Share of planned trials done for each floor, condition, excitation and radius. Fill in the yellow Done column on the Trials sheet; this grid updates itself.</t>
  </si>
  <si>
    <t xml:space="preserve">Trials per radius</t>
  </si>
  <si>
    <t xml:space="preserve">3 per condition, excitation and radius.</t>
  </si>
  <si>
    <t xml:space="preserve">Floor</t>
  </si>
  <si>
    <t xml:space="preserve">Condition</t>
  </si>
  <si>
    <t xml:space="preserve">Walk in place, 10 steps</t>
  </si>
  <si>
    <t xml:space="preserve">Drop stand, 4 in</t>
  </si>
  <si>
    <t xml:space="preserve">Noise baseline</t>
  </si>
  <si>
    <t xml:space="preserve">All</t>
  </si>
  <si>
    <t xml:space="preserve">1 m</t>
  </si>
  <si>
    <t xml:space="preserve">2 m</t>
  </si>
  <si>
    <t xml:space="preserve">3 m</t>
  </si>
  <si>
    <t xml:space="preserve">wood</t>
  </si>
  <si>
    <t xml:space="preserve">Bare</t>
  </si>
  <si>
    <t xml:space="preserve">Enclosed</t>
  </si>
  <si>
    <t xml:space="preserve">carpet</t>
  </si>
  <si>
    <t xml:space="preserve">Trials done</t>
  </si>
  <si>
    <t xml:space="preserve">Every planned trial done</t>
  </si>
  <si>
    <t xml:space="preserve">Started, not finished</t>
  </si>
  <si>
    <t xml:space="preserve">Not started</t>
  </si>
  <si>
    <t xml:space="preserve">Extras recorded but not in the plan: three drops at 7 in (17.8 cm), carpet, bare, 1 m (carpet_bare_drop7in_1m_01 to _03).</t>
  </si>
  <si>
    <t xml:space="preserve">Trials are in data/controlled/raw/&lt;date&gt;/; the procedure is docs/testing/floor_procedure.md.</t>
  </si>
  <si>
    <t xml:space="preserve">Excitation</t>
  </si>
  <si>
    <t xml:space="preserve">ID prefix</t>
  </si>
  <si>
    <t xml:space="preserve">Radius</t>
  </si>
  <si>
    <t xml:space="preserve">Planned</t>
  </si>
  <si>
    <t xml:space="preserve">Done</t>
  </si>
  <si>
    <t xml:space="preserve">Status</t>
  </si>
  <si>
    <t xml:space="preserve">Date done</t>
  </si>
  <si>
    <t xml:space="preserve">Trial IDs</t>
  </si>
  <si>
    <t xml:space="preserve">Notes</t>
  </si>
  <si>
    <t xml:space="preserve">Counted (auto)</t>
  </si>
  <si>
    <t xml:space="preserve">noise</t>
  </si>
  <si>
    <t xml:space="preserve">wood_bare</t>
  </si>
  <si>
    <t xml:space="preserve">2026-10-21</t>
  </si>
  <si>
    <t xml:space="preserve">wood_bare_noise_01</t>
  </si>
  <si>
    <t xml:space="preserve">14.7 s, not 60 s. 4.1 false alarms per minute, above the limit of 3.</t>
  </si>
  <si>
    <t xml:space="preserve">walk</t>
  </si>
  <si>
    <t xml:space="preserve">wood_bare_walk</t>
  </si>
  <si>
    <t xml:space="preserve">wood_bare_walk_1m_01 to _03</t>
  </si>
  <si>
    <t xml:space="preserve">wood_bare_walk_2m_01 to _03</t>
  </si>
  <si>
    <t xml:space="preserve">wood_bare_walk_3m_01 to _03</t>
  </si>
  <si>
    <t xml:space="preserve">drop4in</t>
  </si>
  <si>
    <t xml:space="preserve">wood_bare_drop4in</t>
  </si>
  <si>
    <t xml:space="preserve">wood_bare_drop4in_1m_01 to _04</t>
  </si>
  <si>
    <t xml:space="preserve">4 trials (01 to 04); counts as 3.</t>
  </si>
  <si>
    <t xml:space="preserve">wood_bare_drop4in_2m_01 to _03</t>
  </si>
  <si>
    <t xml:space="preserve">wood_bare_drop4in_3m_01 to _03</t>
  </si>
  <si>
    <t xml:space="preserve">wood_enclosed</t>
  </si>
  <si>
    <t xml:space="preserve">wood_enclosed_noise_01</t>
  </si>
  <si>
    <t xml:space="preserve">9.1 s, recorded after the enclosed wood trials, so they are measured against wood_bare_noise_01.</t>
  </si>
  <si>
    <t xml:space="preserve">wood_enclosed_walk</t>
  </si>
  <si>
    <t xml:space="preserve">wood_enclosed_walk_1m_01 to _03</t>
  </si>
  <si>
    <t xml:space="preserve">wood_enclosed_walk_2m_01 to _03</t>
  </si>
  <si>
    <t xml:space="preserve">wood_enclosed_walk_3m_01 to _03</t>
  </si>
  <si>
    <t xml:space="preserve">wood_enclosed_drop4in</t>
  </si>
  <si>
    <t xml:space="preserve">wood_enclosed_drop4in_1m_01 to _03</t>
  </si>
  <si>
    <t xml:space="preserve">wood_enclosed_drop4in_2m_01 to _03</t>
  </si>
  <si>
    <t xml:space="preserve">wood_enclosed_drop4in_3m_01 to _03</t>
  </si>
  <si>
    <t xml:space="preserve">carpet_bare</t>
  </si>
  <si>
    <t xml:space="preserve">carpet_bare_noise_01</t>
  </si>
  <si>
    <t xml:space="preserve">13.6 s, not 60 s.</t>
  </si>
  <si>
    <t xml:space="preserve">carpet_bare_walk</t>
  </si>
  <si>
    <t xml:space="preserve">carpet_bare_walk_1m_01 to _03</t>
  </si>
  <si>
    <t xml:space="preserve">carpet_bare_walk_2m_01 to _03</t>
  </si>
  <si>
    <t xml:space="preserve">carpet_bare_walk_3m_01 to _03</t>
  </si>
  <si>
    <t xml:space="preserve">carpet_bare_drop4in</t>
  </si>
  <si>
    <t xml:space="preserve">carpet_bare_drop4in_1m_01 to _03</t>
  </si>
  <si>
    <t xml:space="preserve">carpet_bare_drop4in_2m_01 to _03</t>
  </si>
  <si>
    <t xml:space="preserve">carpet_bare_drop4in_3m_01 to _03</t>
  </si>
  <si>
    <t xml:space="preserve">carpet_enclosed</t>
  </si>
  <si>
    <t xml:space="preserve">carpet_enclosed_noise_01</t>
  </si>
  <si>
    <t xml:space="preserve">64 s, recorded at 20:54 before the enclosed walks. The enclosed drops (19:36) came before it and are measured against wood_enclosed_noise_01.</t>
  </si>
  <si>
    <t xml:space="preserve">carpet_enclosed_walk</t>
  </si>
  <si>
    <t xml:space="preserve">carpet_enclosed_walk_1m_01 to _03</t>
  </si>
  <si>
    <t xml:space="preserve">Recorded at 20:57 to 21:00, after the drops.</t>
  </si>
  <si>
    <t xml:space="preserve">carpet_enclosed_walk_2m_01 to _03</t>
  </si>
  <si>
    <t xml:space="preserve">carpet_enclosed_walk_3m_01 to _03</t>
  </si>
  <si>
    <t xml:space="preserve">carpet_enclosed_drop4in</t>
  </si>
  <si>
    <t xml:space="preserve">carpet_enclosed_drop4in_1m_01 to _03</t>
  </si>
  <si>
    <t xml:space="preserve">carpet_enclosed_drop4in_2m_01 to _03</t>
  </si>
  <si>
    <t xml:space="preserve">carpet_enclosed_drop4in_3m_01 to _03</t>
  </si>
  <si>
    <t xml:space="preserve">How to use this matrix</t>
  </si>
  <si>
    <t xml:space="preserve">Edit only the yellow cells.</t>
  </si>
  <si>
    <t xml:space="preserve">Trials sheet: Done (number of good trials), Date done, Notes.</t>
  </si>
  <si>
    <t xml:space="preserve">Overview sheet: Trials per radius (C4), if you change it from 3.</t>
  </si>
  <si>
    <t xml:space="preserve">Everything else is a label or a formula.</t>
  </si>
  <si>
    <t xml:space="preserve">One row per floor, condition, excitation and radius. Each floor and condition starts with its noise baseline row (60 s, before its first trial).</t>
  </si>
  <si>
    <t xml:space="preserve">Done can be more than Planned (extra trials); only the planned number counts.</t>
  </si>
  <si>
    <t xml:space="preserve">A trial marked invalid and repeated counts once. Write the reason in Notes.</t>
  </si>
  <si>
    <t xml:space="preserve">Filter the Trials sheet by Floor, Condition, Excitation or Status to see what is left.</t>
  </si>
  <si>
    <t xml:space="preserve">Example of a filled-in row (not counted anywhere):</t>
  </si>
  <si>
    <t xml:space="preserve">tile</t>
  </si>
  <si>
    <t xml:space="preserve">tile_bare_drop4in</t>
  </si>
  <si>
    <t xml:space="preserve">Partial</t>
  </si>
  <si>
    <t xml:space="preserve">2026-10-23</t>
  </si>
  <si>
    <t xml:space="preserve">tile_bare_drop4in_2m_01 to _02</t>
  </si>
  <si>
    <t xml:space="preserve">drop 3 repeated (ball rolled); one left to do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</si>
</sst>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F2F2F2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D9E1F2"/>
      </patternFill>
    </fill>
    <fill>
      <patternFill patternType="solid">
        <fgColor rgb="FFF2F2F2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80808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10" min="3" style="0" width="10"/>
  </cols>
  <sheetData>
    <row r="1" customFormat="false" ht="17.35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/>
      <c r="C4" s="4" t="n">
        <v>3</v>
      </c>
      <c r="D4" s="5" t="s">
        <v>3</v>
      </c>
    </row>
    <row r="6" customFormat="false" ht="27.75" hidden="false" customHeight="true" outlineLevel="0" collapsed="false">
      <c r="A6" s="6" t="s">
        <v>4</v>
      </c>
      <c r="B6" s="6" t="s">
        <v>5</v>
      </c>
      <c r="C6" s="6" t="s">
        <v>6</v>
      </c>
      <c r="D6" s="6"/>
      <c r="E6" s="6"/>
      <c r="F6" s="6" t="s">
        <v>7</v>
      </c>
      <c r="G6" s="6"/>
      <c r="H6" s="6"/>
      <c r="I6" s="6" t="s">
        <v>8</v>
      </c>
      <c r="J6" s="6" t="s">
        <v>9</v>
      </c>
    </row>
    <row r="7" customFormat="false" ht="15" hidden="false" customHeight="false" outlineLevel="0" collapsed="false">
      <c r="A7" s="6"/>
      <c r="B7" s="6"/>
      <c r="C7" s="7" t="s">
        <v>10</v>
      </c>
      <c r="D7" s="7" t="s">
        <v>11</v>
      </c>
      <c r="E7" s="7" t="s">
        <v>12</v>
      </c>
      <c r="F7" s="7" t="s">
        <v>10</v>
      </c>
      <c r="G7" s="7" t="s">
        <v>11</v>
      </c>
      <c r="H7" s="7" t="s">
        <v>12</v>
      </c>
      <c r="I7" s="6"/>
      <c r="J7" s="6"/>
    </row>
    <row r="8" customFormat="false" ht="15" hidden="false" customHeight="false" outlineLevel="0" collapsed="false">
      <c r="A8" s="8" t="s">
        <v>13</v>
      </c>
      <c r="B8" s="9" t="s">
        <v>14</v>
      </c>
      <c r="C8" s="10" t="n">
        <f aca="false">IFERROR(SUMIFS(Trials!$L$2:$L$29,Trials!$A$2:$A$29,"wood",Trials!$B$2:$B$29,$B8,Trials!$C$2:$C$29,"walk",Trials!$E$2:$E$29,"1 m")/SUMIFS(Trials!$F$2:$F$29,Trials!$A$2:$A$29,"wood",Trials!$B$2:$B$29,$B8,Trials!$C$2:$C$29,"walk",Trials!$E$2:$E$29,"1 m"),0)</f>
        <v>1</v>
      </c>
      <c r="D8" s="10" t="n">
        <f aca="false">IFERROR(SUMIFS(Trials!$L$2:$L$29,Trials!$A$2:$A$29,"wood",Trials!$B$2:$B$29,$B8,Trials!$C$2:$C$29,"walk",Trials!$E$2:$E$29,"2 m")/SUMIFS(Trials!$F$2:$F$29,Trials!$A$2:$A$29,"wood",Trials!$B$2:$B$29,$B8,Trials!$C$2:$C$29,"walk",Trials!$E$2:$E$29,"2 m"),0)</f>
        <v>1</v>
      </c>
      <c r="E8" s="10" t="n">
        <f aca="false">IFERROR(SUMIFS(Trials!$L$2:$L$29,Trials!$A$2:$A$29,"wood",Trials!$B$2:$B$29,$B8,Trials!$C$2:$C$29,"walk",Trials!$E$2:$E$29,"3 m")/SUMIFS(Trials!$F$2:$F$29,Trials!$A$2:$A$29,"wood",Trials!$B$2:$B$29,$B8,Trials!$C$2:$C$29,"walk",Trials!$E$2:$E$29,"3 m"),0)</f>
        <v>1</v>
      </c>
      <c r="F8" s="10" t="n">
        <f aca="false">IFERROR(SUMIFS(Trials!$L$2:$L$29,Trials!$A$2:$A$29,"wood",Trials!$B$2:$B$29,$B8,Trials!$C$2:$C$29,"drop4in",Trials!$E$2:$E$29,"1 m")/SUMIFS(Trials!$F$2:$F$29,Trials!$A$2:$A$29,"wood",Trials!$B$2:$B$29,$B8,Trials!$C$2:$C$29,"drop4in",Trials!$E$2:$E$29,"1 m"),0)</f>
        <v>1</v>
      </c>
      <c r="G8" s="10" t="n">
        <f aca="false">IFERROR(SUMIFS(Trials!$L$2:$L$29,Trials!$A$2:$A$29,"wood",Trials!$B$2:$B$29,$B8,Trials!$C$2:$C$29,"drop4in",Trials!$E$2:$E$29,"2 m")/SUMIFS(Trials!$F$2:$F$29,Trials!$A$2:$A$29,"wood",Trials!$B$2:$B$29,$B8,Trials!$C$2:$C$29,"drop4in",Trials!$E$2:$E$29,"2 m"),0)</f>
        <v>1</v>
      </c>
      <c r="H8" s="10" t="n">
        <f aca="false">IFERROR(SUMIFS(Trials!$L$2:$L$29,Trials!$A$2:$A$29,"wood",Trials!$B$2:$B$29,$B8,Trials!$C$2:$C$29,"drop4in",Trials!$E$2:$E$29,"3 m")/SUMIFS(Trials!$F$2:$F$29,Trials!$A$2:$A$29,"wood",Trials!$B$2:$B$29,$B8,Trials!$C$2:$C$29,"drop4in",Trials!$E$2:$E$29,"3 m"),0)</f>
        <v>1</v>
      </c>
      <c r="I8" s="10" t="n">
        <f aca="false">IFERROR(SUMIFS(Trials!$L$2:$L$29,Trials!$A$2:$A$29,"wood",Trials!$B$2:$B$29,$B8,Trials!$C$2:$C$29,"noise",Trials!$E$2:$E$29,"Noise baseline")/SUMIFS(Trials!$F$2:$F$29,Trials!$A$2:$A$29,"wood",Trials!$B$2:$B$29,$B8,Trials!$C$2:$C$29,"noise",Trials!$E$2:$E$29,"Noise baseline"),0)</f>
        <v>1</v>
      </c>
      <c r="J8" s="11" t="n">
        <f aca="false">IFERROR(SUMIFS(Trials!$L$2:$L$29,Trials!$A$2:$A$29,"wood",Trials!$B$2:$B$29,$B8)/SUMIFS(Trials!$F$2:$F$29,Trials!$A$2:$A$29,"wood",Trials!$B$2:$B$29,$B8),0)</f>
        <v>1</v>
      </c>
    </row>
    <row r="9" customFormat="false" ht="15" hidden="false" customHeight="false" outlineLevel="0" collapsed="false">
      <c r="A9" s="8"/>
      <c r="B9" s="9" t="s">
        <v>15</v>
      </c>
      <c r="C9" s="10" t="n">
        <f aca="false">IFERROR(SUMIFS(Trials!$L$2:$L$29,Trials!$A$2:$A$29,"wood",Trials!$B$2:$B$29,$B9,Trials!$C$2:$C$29,"walk",Trials!$E$2:$E$29,"1 m")/SUMIFS(Trials!$F$2:$F$29,Trials!$A$2:$A$29,"wood",Trials!$B$2:$B$29,$B9,Trials!$C$2:$C$29,"walk",Trials!$E$2:$E$29,"1 m"),0)</f>
        <v>1</v>
      </c>
      <c r="D9" s="10" t="n">
        <f aca="false">IFERROR(SUMIFS(Trials!$L$2:$L$29,Trials!$A$2:$A$29,"wood",Trials!$B$2:$B$29,$B9,Trials!$C$2:$C$29,"walk",Trials!$E$2:$E$29,"2 m")/SUMIFS(Trials!$F$2:$F$29,Trials!$A$2:$A$29,"wood",Trials!$B$2:$B$29,$B9,Trials!$C$2:$C$29,"walk",Trials!$E$2:$E$29,"2 m"),0)</f>
        <v>1</v>
      </c>
      <c r="E9" s="10" t="n">
        <f aca="false">IFERROR(SUMIFS(Trials!$L$2:$L$29,Trials!$A$2:$A$29,"wood",Trials!$B$2:$B$29,$B9,Trials!$C$2:$C$29,"walk",Trials!$E$2:$E$29,"3 m")/SUMIFS(Trials!$F$2:$F$29,Trials!$A$2:$A$29,"wood",Trials!$B$2:$B$29,$B9,Trials!$C$2:$C$29,"walk",Trials!$E$2:$E$29,"3 m"),0)</f>
        <v>1</v>
      </c>
      <c r="F9" s="10" t="n">
        <f aca="false">IFERROR(SUMIFS(Trials!$L$2:$L$29,Trials!$A$2:$A$29,"wood",Trials!$B$2:$B$29,$B9,Trials!$C$2:$C$29,"drop4in",Trials!$E$2:$E$29,"1 m")/SUMIFS(Trials!$F$2:$F$29,Trials!$A$2:$A$29,"wood",Trials!$B$2:$B$29,$B9,Trials!$C$2:$C$29,"drop4in",Trials!$E$2:$E$29,"1 m"),0)</f>
        <v>1</v>
      </c>
      <c r="G9" s="10" t="n">
        <f aca="false">IFERROR(SUMIFS(Trials!$L$2:$L$29,Trials!$A$2:$A$29,"wood",Trials!$B$2:$B$29,$B9,Trials!$C$2:$C$29,"drop4in",Trials!$E$2:$E$29,"2 m")/SUMIFS(Trials!$F$2:$F$29,Trials!$A$2:$A$29,"wood",Trials!$B$2:$B$29,$B9,Trials!$C$2:$C$29,"drop4in",Trials!$E$2:$E$29,"2 m"),0)</f>
        <v>1</v>
      </c>
      <c r="H9" s="10" t="n">
        <f aca="false">IFERROR(SUMIFS(Trials!$L$2:$L$29,Trials!$A$2:$A$29,"wood",Trials!$B$2:$B$29,$B9,Trials!$C$2:$C$29,"drop4in",Trials!$E$2:$E$29,"3 m")/SUMIFS(Trials!$F$2:$F$29,Trials!$A$2:$A$29,"wood",Trials!$B$2:$B$29,$B9,Trials!$C$2:$C$29,"drop4in",Trials!$E$2:$E$29,"3 m"),0)</f>
        <v>1</v>
      </c>
      <c r="I9" s="10" t="n">
        <f aca="false">IFERROR(SUMIFS(Trials!$L$2:$L$29,Trials!$A$2:$A$29,"wood",Trials!$B$2:$B$29,$B9,Trials!$C$2:$C$29,"noise",Trials!$E$2:$E$29,"Noise baseline")/SUMIFS(Trials!$F$2:$F$29,Trials!$A$2:$A$29,"wood",Trials!$B$2:$B$29,$B9,Trials!$C$2:$C$29,"noise",Trials!$E$2:$E$29,"Noise baseline"),0)</f>
        <v>1</v>
      </c>
      <c r="J9" s="11" t="n">
        <f aca="false">IFERROR(SUMIFS(Trials!$L$2:$L$29,Trials!$A$2:$A$29,"wood",Trials!$B$2:$B$29,$B9)/SUMIFS(Trials!$F$2:$F$29,Trials!$A$2:$A$29,"wood",Trials!$B$2:$B$29,$B9),0)</f>
        <v>1</v>
      </c>
    </row>
    <row r="10" customFormat="false" ht="15" hidden="false" customHeight="false" outlineLevel="0" collapsed="false">
      <c r="A10" s="8" t="s">
        <v>16</v>
      </c>
      <c r="B10" s="9" t="s">
        <v>14</v>
      </c>
      <c r="C10" s="10" t="n">
        <f aca="false">IFERROR(SUMIFS(Trials!$L$2:$L$29,Trials!$A$2:$A$29,"carpet",Trials!$B$2:$B$29,$B10,Trials!$C$2:$C$29,"walk",Trials!$E$2:$E$29,"1 m")/SUMIFS(Trials!$F$2:$F$29,Trials!$A$2:$A$29,"carpet",Trials!$B$2:$B$29,$B10,Trials!$C$2:$C$29,"walk",Trials!$E$2:$E$29,"1 m"),0)</f>
        <v>1</v>
      </c>
      <c r="D10" s="10" t="n">
        <f aca="false">IFERROR(SUMIFS(Trials!$L$2:$L$29,Trials!$A$2:$A$29,"carpet",Trials!$B$2:$B$29,$B10,Trials!$C$2:$C$29,"walk",Trials!$E$2:$E$29,"2 m")/SUMIFS(Trials!$F$2:$F$29,Trials!$A$2:$A$29,"carpet",Trials!$B$2:$B$29,$B10,Trials!$C$2:$C$29,"walk",Trials!$E$2:$E$29,"2 m"),0)</f>
        <v>1</v>
      </c>
      <c r="E10" s="10" t="n">
        <f aca="false">IFERROR(SUMIFS(Trials!$L$2:$L$29,Trials!$A$2:$A$29,"carpet",Trials!$B$2:$B$29,$B10,Trials!$C$2:$C$29,"walk",Trials!$E$2:$E$29,"3 m")/SUMIFS(Trials!$F$2:$F$29,Trials!$A$2:$A$29,"carpet",Trials!$B$2:$B$29,$B10,Trials!$C$2:$C$29,"walk",Trials!$E$2:$E$29,"3 m"),0)</f>
        <v>1</v>
      </c>
      <c r="F10" s="10" t="n">
        <f aca="false">IFERROR(SUMIFS(Trials!$L$2:$L$29,Trials!$A$2:$A$29,"carpet",Trials!$B$2:$B$29,$B10,Trials!$C$2:$C$29,"drop4in",Trials!$E$2:$E$29,"1 m")/SUMIFS(Trials!$F$2:$F$29,Trials!$A$2:$A$29,"carpet",Trials!$B$2:$B$29,$B10,Trials!$C$2:$C$29,"drop4in",Trials!$E$2:$E$29,"1 m"),0)</f>
        <v>1</v>
      </c>
      <c r="G10" s="10" t="n">
        <f aca="false">IFERROR(SUMIFS(Trials!$L$2:$L$29,Trials!$A$2:$A$29,"carpet",Trials!$B$2:$B$29,$B10,Trials!$C$2:$C$29,"drop4in",Trials!$E$2:$E$29,"2 m")/SUMIFS(Trials!$F$2:$F$29,Trials!$A$2:$A$29,"carpet",Trials!$B$2:$B$29,$B10,Trials!$C$2:$C$29,"drop4in",Trials!$E$2:$E$29,"2 m"),0)</f>
        <v>1</v>
      </c>
      <c r="H10" s="10" t="n">
        <f aca="false">IFERROR(SUMIFS(Trials!$L$2:$L$29,Trials!$A$2:$A$29,"carpet",Trials!$B$2:$B$29,$B10,Trials!$C$2:$C$29,"drop4in",Trials!$E$2:$E$29,"3 m")/SUMIFS(Trials!$F$2:$F$29,Trials!$A$2:$A$29,"carpet",Trials!$B$2:$B$29,$B10,Trials!$C$2:$C$29,"drop4in",Trials!$E$2:$E$29,"3 m"),0)</f>
        <v>1</v>
      </c>
      <c r="I10" s="10" t="n">
        <f aca="false">IFERROR(SUMIFS(Trials!$L$2:$L$29,Trials!$A$2:$A$29,"carpet",Trials!$B$2:$B$29,$B10,Trials!$C$2:$C$29,"noise",Trials!$E$2:$E$29,"Noise baseline")/SUMIFS(Trials!$F$2:$F$29,Trials!$A$2:$A$29,"carpet",Trials!$B$2:$B$29,$B10,Trials!$C$2:$C$29,"noise",Trials!$E$2:$E$29,"Noise baseline"),0)</f>
        <v>1</v>
      </c>
      <c r="J10" s="11" t="n">
        <f aca="false">IFERROR(SUMIFS(Trials!$L$2:$L$29,Trials!$A$2:$A$29,"carpet",Trials!$B$2:$B$29,$B10)/SUMIFS(Trials!$F$2:$F$29,Trials!$A$2:$A$29,"carpet",Trials!$B$2:$B$29,$B10),0)</f>
        <v>1</v>
      </c>
    </row>
    <row r="11" customFormat="false" ht="15" hidden="false" customHeight="false" outlineLevel="0" collapsed="false">
      <c r="A11" s="8"/>
      <c r="B11" s="9" t="s">
        <v>15</v>
      </c>
      <c r="C11" s="10" t="n">
        <f aca="false">IFERROR(SUMIFS(Trials!$L$2:$L$29,Trials!$A$2:$A$29,"carpet",Trials!$B$2:$B$29,$B11,Trials!$C$2:$C$29,"walk",Trials!$E$2:$E$29,"1 m")/SUMIFS(Trials!$F$2:$F$29,Trials!$A$2:$A$29,"carpet",Trials!$B$2:$B$29,$B11,Trials!$C$2:$C$29,"walk",Trials!$E$2:$E$29,"1 m"),0)</f>
        <v>1</v>
      </c>
      <c r="D11" s="10" t="n">
        <f aca="false">IFERROR(SUMIFS(Trials!$L$2:$L$29,Trials!$A$2:$A$29,"carpet",Trials!$B$2:$B$29,$B11,Trials!$C$2:$C$29,"walk",Trials!$E$2:$E$29,"2 m")/SUMIFS(Trials!$F$2:$F$29,Trials!$A$2:$A$29,"carpet",Trials!$B$2:$B$29,$B11,Trials!$C$2:$C$29,"walk",Trials!$E$2:$E$29,"2 m"),0)</f>
        <v>1</v>
      </c>
      <c r="E11" s="10" t="n">
        <f aca="false">IFERROR(SUMIFS(Trials!$L$2:$L$29,Trials!$A$2:$A$29,"carpet",Trials!$B$2:$B$29,$B11,Trials!$C$2:$C$29,"walk",Trials!$E$2:$E$29,"3 m")/SUMIFS(Trials!$F$2:$F$29,Trials!$A$2:$A$29,"carpet",Trials!$B$2:$B$29,$B11,Trials!$C$2:$C$29,"walk",Trials!$E$2:$E$29,"3 m"),0)</f>
        <v>1</v>
      </c>
      <c r="F11" s="10" t="n">
        <f aca="false">IFERROR(SUMIFS(Trials!$L$2:$L$29,Trials!$A$2:$A$29,"carpet",Trials!$B$2:$B$29,$B11,Trials!$C$2:$C$29,"drop4in",Trials!$E$2:$E$29,"1 m")/SUMIFS(Trials!$F$2:$F$29,Trials!$A$2:$A$29,"carpet",Trials!$B$2:$B$29,$B11,Trials!$C$2:$C$29,"drop4in",Trials!$E$2:$E$29,"1 m"),0)</f>
        <v>1</v>
      </c>
      <c r="G11" s="10" t="n">
        <f aca="false">IFERROR(SUMIFS(Trials!$L$2:$L$29,Trials!$A$2:$A$29,"carpet",Trials!$B$2:$B$29,$B11,Trials!$C$2:$C$29,"drop4in",Trials!$E$2:$E$29,"2 m")/SUMIFS(Trials!$F$2:$F$29,Trials!$A$2:$A$29,"carpet",Trials!$B$2:$B$29,$B11,Trials!$C$2:$C$29,"drop4in",Trials!$E$2:$E$29,"2 m"),0)</f>
        <v>1</v>
      </c>
      <c r="H11" s="10" t="n">
        <f aca="false">IFERROR(SUMIFS(Trials!$L$2:$L$29,Trials!$A$2:$A$29,"carpet",Trials!$B$2:$B$29,$B11,Trials!$C$2:$C$29,"drop4in",Trials!$E$2:$E$29,"3 m")/SUMIFS(Trials!$F$2:$F$29,Trials!$A$2:$A$29,"carpet",Trials!$B$2:$B$29,$B11,Trials!$C$2:$C$29,"drop4in",Trials!$E$2:$E$29,"3 m"),0)</f>
        <v>1</v>
      </c>
      <c r="I11" s="10" t="n">
        <f aca="false">IFERROR(SUMIFS(Trials!$L$2:$L$29,Trials!$A$2:$A$29,"carpet",Trials!$B$2:$B$29,$B11,Trials!$C$2:$C$29,"noise",Trials!$E$2:$E$29,"Noise baseline")/SUMIFS(Trials!$F$2:$F$29,Trials!$A$2:$A$29,"carpet",Trials!$B$2:$B$29,$B11,Trials!$C$2:$C$29,"noise",Trials!$E$2:$E$29,"Noise baseline"),0)</f>
        <v>1</v>
      </c>
      <c r="J11" s="11" t="n">
        <f aca="false">IFERROR(SUMIFS(Trials!$L$2:$L$29,Trials!$A$2:$A$29,"carpet",Trials!$B$2:$B$29,$B11)/SUMIFS(Trials!$F$2:$F$29,Trials!$A$2:$A$29,"carpet",Trials!$B$2:$B$29,$B11),0)</f>
        <v>1</v>
      </c>
    </row>
    <row r="12" customFormat="false" ht="15" hidden="false" customHeight="false" outlineLevel="0" collapsed="false">
      <c r="A12" s="12" t="s">
        <v>9</v>
      </c>
      <c r="B12" s="12"/>
      <c r="C12" s="11" t="n">
        <f aca="false">IFERROR(SUMIFS(Trials!$L$2:$L$29,Trials!$C$2:$C$29,"walk",Trials!$E$2:$E$29,"1 m")/SUMIFS(Trials!$F$2:$F$29,Trials!$C$2:$C$29,"walk",Trials!$E$2:$E$29,"1 m"),0)</f>
        <v>1</v>
      </c>
      <c r="D12" s="11" t="n">
        <f aca="false">IFERROR(SUMIFS(Trials!$L$2:$L$29,Trials!$C$2:$C$29,"walk",Trials!$E$2:$E$29,"2 m")/SUMIFS(Trials!$F$2:$F$29,Trials!$C$2:$C$29,"walk",Trials!$E$2:$E$29,"2 m"),0)</f>
        <v>1</v>
      </c>
      <c r="E12" s="11" t="n">
        <f aca="false">IFERROR(SUMIFS(Trials!$L$2:$L$29,Trials!$C$2:$C$29,"walk",Trials!$E$2:$E$29,"3 m")/SUMIFS(Trials!$F$2:$F$29,Trials!$C$2:$C$29,"walk",Trials!$E$2:$E$29,"3 m"),0)</f>
        <v>1</v>
      </c>
      <c r="F12" s="11" t="n">
        <f aca="false">IFERROR(SUMIFS(Trials!$L$2:$L$29,Trials!$C$2:$C$29,"drop4in",Trials!$E$2:$E$29,"1 m")/SUMIFS(Trials!$F$2:$F$29,Trials!$C$2:$C$29,"drop4in",Trials!$E$2:$E$29,"1 m"),0)</f>
        <v>1</v>
      </c>
      <c r="G12" s="11" t="n">
        <f aca="false">IFERROR(SUMIFS(Trials!$L$2:$L$29,Trials!$C$2:$C$29,"drop4in",Trials!$E$2:$E$29,"2 m")/SUMIFS(Trials!$F$2:$F$29,Trials!$C$2:$C$29,"drop4in",Trials!$E$2:$E$29,"2 m"),0)</f>
        <v>1</v>
      </c>
      <c r="H12" s="11" t="n">
        <f aca="false">IFERROR(SUMIFS(Trials!$L$2:$L$29,Trials!$C$2:$C$29,"drop4in",Trials!$E$2:$E$29,"3 m")/SUMIFS(Trials!$F$2:$F$29,Trials!$C$2:$C$29,"drop4in",Trials!$E$2:$E$29,"3 m"),0)</f>
        <v>1</v>
      </c>
      <c r="I12" s="11" t="n">
        <f aca="false">IFERROR(SUMIFS(Trials!$L$2:$L$29,Trials!$C$2:$C$29,"noise",Trials!$E$2:$E$29,"Noise baseline")/SUMIFS(Trials!$F$2:$F$29,Trials!$C$2:$C$29,"noise",Trials!$E$2:$E$29,"Noise baseline"),0)</f>
        <v>1</v>
      </c>
      <c r="J12" s="11" t="n">
        <f aca="false">IFERROR(SUM(Trials!$L$2:$L$29)/SUM(Trials!$F$2:$F$29),0)</f>
        <v>1</v>
      </c>
    </row>
    <row r="14" customFormat="false" ht="15" hidden="false" customHeight="false" outlineLevel="0" collapsed="false">
      <c r="A14" s="3" t="s">
        <v>17</v>
      </c>
      <c r="B14" s="3"/>
      <c r="C14" s="13" t="str">
        <f aca="false">SUM(Trials!$L$2:$L$29)&amp;" of "&amp;SUM(Trials!$F$2:$F$29)</f>
        <v>76 of 76</v>
      </c>
    </row>
    <row r="16" customFormat="false" ht="15" hidden="false" customHeight="false" outlineLevel="0" collapsed="false">
      <c r="B16" s="14"/>
      <c r="C16" s="15" t="s">
        <v>18</v>
      </c>
    </row>
    <row r="17" customFormat="false" ht="15" hidden="false" customHeight="false" outlineLevel="0" collapsed="false">
      <c r="B17" s="16"/>
      <c r="C17" s="15" t="s">
        <v>19</v>
      </c>
    </row>
    <row r="18" customFormat="false" ht="15" hidden="false" customHeight="false" outlineLevel="0" collapsed="false">
      <c r="B18" s="17"/>
      <c r="C18" s="15" t="s">
        <v>20</v>
      </c>
    </row>
    <row r="20" customFormat="false" ht="15" hidden="false" customHeight="false" outlineLevel="0" collapsed="false">
      <c r="A20" s="18" t="s">
        <v>21</v>
      </c>
      <c r="B20" s="18"/>
      <c r="C20" s="18"/>
      <c r="D20" s="18"/>
      <c r="E20" s="18"/>
      <c r="F20" s="18"/>
      <c r="G20" s="18"/>
      <c r="H20" s="18"/>
      <c r="I20" s="18"/>
      <c r="J20" s="18"/>
    </row>
    <row r="21" customFormat="false" ht="15" hidden="false" customHeight="false" outlineLevel="0" collapsed="false">
      <c r="A21" s="18" t="s">
        <v>22</v>
      </c>
      <c r="B21" s="18"/>
      <c r="C21" s="18"/>
      <c r="D21" s="18"/>
      <c r="E21" s="18"/>
      <c r="F21" s="18"/>
      <c r="G21" s="18"/>
      <c r="H21" s="18"/>
      <c r="I21" s="18"/>
      <c r="J21" s="18"/>
    </row>
  </sheetData>
  <mergeCells count="14">
    <mergeCell ref="A2:J2"/>
    <mergeCell ref="A4:B4"/>
    <mergeCell ref="A6:A7"/>
    <mergeCell ref="B6:B7"/>
    <mergeCell ref="C6:E6"/>
    <mergeCell ref="F6:H6"/>
    <mergeCell ref="I6:I7"/>
    <mergeCell ref="J6:J7"/>
    <mergeCell ref="A8:A9"/>
    <mergeCell ref="A10:A11"/>
    <mergeCell ref="A12:B12"/>
    <mergeCell ref="A14:B14"/>
    <mergeCell ref="A20:J20"/>
    <mergeCell ref="A21:J21"/>
  </mergeCells>
  <conditionalFormatting sqref="C8:J12">
    <cfRule type="expression" priority="2" aboveAverage="0" equalAverage="0" bottom="0" percent="0" rank="0" text="" dxfId="0">
      <formula>C8&gt;=1</formula>
    </cfRule>
    <cfRule type="expression" priority="3" aboveAverage="0" equalAverage="0" bottom="0" percent="0" rank="0" text="" dxfId="1">
      <formula>AND(C8&gt;0,C8&lt;1)</formula>
    </cfRule>
    <cfRule type="expression" priority="4" aboveAverage="0" equalAverage="0" bottom="0" percent="0" rank="0" text="" dxfId="2">
      <formula>C8=0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15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9" min="8" style="0" width="12"/>
    <col collapsed="false" customWidth="true" hidden="false" outlineLevel="0" max="10" min="10" style="0" width="36"/>
    <col collapsed="false" customWidth="true" hidden="false" outlineLevel="0" max="11" min="11" style="0" width="48"/>
    <col collapsed="false" customWidth="true" hidden="false" outlineLevel="0" max="12" min="12" style="0" width="10"/>
  </cols>
  <sheetData>
    <row r="1" customFormat="false" ht="23.85" hidden="false" customHeight="false" outlineLevel="0" collapsed="false">
      <c r="A1" s="7" t="s">
        <v>4</v>
      </c>
      <c r="B1" s="7" t="s">
        <v>5</v>
      </c>
      <c r="C1" s="7" t="s">
        <v>23</v>
      </c>
      <c r="D1" s="7" t="s">
        <v>24</v>
      </c>
      <c r="E1" s="7" t="s">
        <v>25</v>
      </c>
      <c r="F1" s="7" t="s">
        <v>26</v>
      </c>
      <c r="G1" s="7" t="s">
        <v>27</v>
      </c>
      <c r="H1" s="7" t="s">
        <v>28</v>
      </c>
      <c r="I1" s="7" t="s">
        <v>29</v>
      </c>
      <c r="J1" s="7" t="s">
        <v>30</v>
      </c>
      <c r="K1" s="7" t="s">
        <v>31</v>
      </c>
      <c r="L1" s="7" t="s">
        <v>32</v>
      </c>
    </row>
    <row r="2" customFormat="false" ht="23.85" hidden="false" customHeight="false" outlineLevel="0" collapsed="false">
      <c r="A2" s="15" t="s">
        <v>13</v>
      </c>
      <c r="B2" s="15" t="s">
        <v>14</v>
      </c>
      <c r="C2" s="15" t="s">
        <v>33</v>
      </c>
      <c r="D2" s="15" t="s">
        <v>34</v>
      </c>
      <c r="E2" s="15" t="s">
        <v>8</v>
      </c>
      <c r="F2" s="15" t="n">
        <v>1</v>
      </c>
      <c r="G2" s="19" t="n">
        <v>1</v>
      </c>
      <c r="H2" s="15" t="str">
        <f aca="false">IF(G2="","Not started",IF(G2&gt;=F2,"Done","Partial"))</f>
        <v>Done</v>
      </c>
      <c r="I2" s="19" t="s">
        <v>35</v>
      </c>
      <c r="J2" s="15" t="s">
        <v>36</v>
      </c>
      <c r="K2" s="20" t="s">
        <v>37</v>
      </c>
      <c r="L2" s="5" t="n">
        <f aca="false">MIN(N(G2),F2)</f>
        <v>1</v>
      </c>
    </row>
    <row r="3" customFormat="false" ht="15" hidden="false" customHeight="false" outlineLevel="0" collapsed="false">
      <c r="A3" s="15" t="s">
        <v>13</v>
      </c>
      <c r="B3" s="15" t="s">
        <v>14</v>
      </c>
      <c r="C3" s="15" t="s">
        <v>38</v>
      </c>
      <c r="D3" s="15" t="s">
        <v>39</v>
      </c>
      <c r="E3" s="15" t="s">
        <v>10</v>
      </c>
      <c r="F3" s="15" t="n">
        <f aca="false">Overview!$C$4</f>
        <v>3</v>
      </c>
      <c r="G3" s="19" t="n">
        <v>3</v>
      </c>
      <c r="H3" s="15" t="str">
        <f aca="false">IF(G3="","Not started",IF(G3&gt;=F3,"Done","Partial"))</f>
        <v>Done</v>
      </c>
      <c r="I3" s="19" t="s">
        <v>35</v>
      </c>
      <c r="J3" s="15" t="s">
        <v>40</v>
      </c>
      <c r="K3" s="20"/>
      <c r="L3" s="5" t="n">
        <f aca="false">MIN(N(G3),F3)</f>
        <v>3</v>
      </c>
    </row>
    <row r="4" customFormat="false" ht="15" hidden="false" customHeight="false" outlineLevel="0" collapsed="false">
      <c r="A4" s="15" t="s">
        <v>13</v>
      </c>
      <c r="B4" s="15" t="s">
        <v>14</v>
      </c>
      <c r="C4" s="15" t="s">
        <v>38</v>
      </c>
      <c r="D4" s="15" t="s">
        <v>39</v>
      </c>
      <c r="E4" s="15" t="s">
        <v>11</v>
      </c>
      <c r="F4" s="15" t="n">
        <f aca="false">Overview!$C$4</f>
        <v>3</v>
      </c>
      <c r="G4" s="19" t="n">
        <v>3</v>
      </c>
      <c r="H4" s="15" t="str">
        <f aca="false">IF(G4="","Not started",IF(G4&gt;=F4,"Done","Partial"))</f>
        <v>Done</v>
      </c>
      <c r="I4" s="19" t="s">
        <v>35</v>
      </c>
      <c r="J4" s="15" t="s">
        <v>41</v>
      </c>
      <c r="K4" s="20"/>
      <c r="L4" s="5" t="n">
        <f aca="false">MIN(N(G4),F4)</f>
        <v>3</v>
      </c>
    </row>
    <row r="5" customFormat="false" ht="15" hidden="false" customHeight="false" outlineLevel="0" collapsed="false">
      <c r="A5" s="15" t="s">
        <v>13</v>
      </c>
      <c r="B5" s="15" t="s">
        <v>14</v>
      </c>
      <c r="C5" s="15" t="s">
        <v>38</v>
      </c>
      <c r="D5" s="15" t="s">
        <v>39</v>
      </c>
      <c r="E5" s="15" t="s">
        <v>12</v>
      </c>
      <c r="F5" s="15" t="n">
        <f aca="false">Overview!$C$4</f>
        <v>3</v>
      </c>
      <c r="G5" s="19" t="n">
        <v>3</v>
      </c>
      <c r="H5" s="15" t="str">
        <f aca="false">IF(G5="","Not started",IF(G5&gt;=F5,"Done","Partial"))</f>
        <v>Done</v>
      </c>
      <c r="I5" s="19" t="s">
        <v>35</v>
      </c>
      <c r="J5" s="15" t="s">
        <v>42</v>
      </c>
      <c r="K5" s="20"/>
      <c r="L5" s="5" t="n">
        <f aca="false">MIN(N(G5),F5)</f>
        <v>3</v>
      </c>
    </row>
    <row r="6" customFormat="false" ht="15" hidden="false" customHeight="false" outlineLevel="0" collapsed="false">
      <c r="A6" s="15" t="s">
        <v>13</v>
      </c>
      <c r="B6" s="15" t="s">
        <v>14</v>
      </c>
      <c r="C6" s="15" t="s">
        <v>43</v>
      </c>
      <c r="D6" s="15" t="s">
        <v>44</v>
      </c>
      <c r="E6" s="15" t="s">
        <v>10</v>
      </c>
      <c r="F6" s="15" t="n">
        <f aca="false">Overview!$C$4</f>
        <v>3</v>
      </c>
      <c r="G6" s="19" t="n">
        <v>4</v>
      </c>
      <c r="H6" s="15" t="str">
        <f aca="false">IF(G6="","Not started",IF(G6&gt;=F6,"Done","Partial"))</f>
        <v>Done</v>
      </c>
      <c r="I6" s="19" t="s">
        <v>35</v>
      </c>
      <c r="J6" s="15" t="s">
        <v>45</v>
      </c>
      <c r="K6" s="20" t="s">
        <v>46</v>
      </c>
      <c r="L6" s="5" t="n">
        <f aca="false">MIN(N(G6),F6)</f>
        <v>3</v>
      </c>
    </row>
    <row r="7" customFormat="false" ht="15" hidden="false" customHeight="false" outlineLevel="0" collapsed="false">
      <c r="A7" s="15" t="s">
        <v>13</v>
      </c>
      <c r="B7" s="15" t="s">
        <v>14</v>
      </c>
      <c r="C7" s="15" t="s">
        <v>43</v>
      </c>
      <c r="D7" s="15" t="s">
        <v>44</v>
      </c>
      <c r="E7" s="15" t="s">
        <v>11</v>
      </c>
      <c r="F7" s="15" t="n">
        <f aca="false">Overview!$C$4</f>
        <v>3</v>
      </c>
      <c r="G7" s="19" t="n">
        <v>3</v>
      </c>
      <c r="H7" s="15" t="str">
        <f aca="false">IF(G7="","Not started",IF(G7&gt;=F7,"Done","Partial"))</f>
        <v>Done</v>
      </c>
      <c r="I7" s="19" t="s">
        <v>35</v>
      </c>
      <c r="J7" s="15" t="s">
        <v>47</v>
      </c>
      <c r="K7" s="20"/>
      <c r="L7" s="5" t="n">
        <f aca="false">MIN(N(G7),F7)</f>
        <v>3</v>
      </c>
    </row>
    <row r="8" customFormat="false" ht="15" hidden="false" customHeight="false" outlineLevel="0" collapsed="false">
      <c r="A8" s="15" t="s">
        <v>13</v>
      </c>
      <c r="B8" s="15" t="s">
        <v>14</v>
      </c>
      <c r="C8" s="15" t="s">
        <v>43</v>
      </c>
      <c r="D8" s="15" t="s">
        <v>44</v>
      </c>
      <c r="E8" s="15" t="s">
        <v>12</v>
      </c>
      <c r="F8" s="15" t="n">
        <f aca="false">Overview!$C$4</f>
        <v>3</v>
      </c>
      <c r="G8" s="19" t="n">
        <v>3</v>
      </c>
      <c r="H8" s="15" t="str">
        <f aca="false">IF(G8="","Not started",IF(G8&gt;=F8,"Done","Partial"))</f>
        <v>Done</v>
      </c>
      <c r="I8" s="19" t="s">
        <v>35</v>
      </c>
      <c r="J8" s="15" t="s">
        <v>48</v>
      </c>
      <c r="K8" s="20"/>
      <c r="L8" s="5" t="n">
        <f aca="false">MIN(N(G8),F8)</f>
        <v>3</v>
      </c>
    </row>
    <row r="9" customFormat="false" ht="23.85" hidden="false" customHeight="false" outlineLevel="0" collapsed="false">
      <c r="A9" s="21" t="s">
        <v>13</v>
      </c>
      <c r="B9" s="21" t="s">
        <v>15</v>
      </c>
      <c r="C9" s="21" t="s">
        <v>33</v>
      </c>
      <c r="D9" s="21" t="s">
        <v>49</v>
      </c>
      <c r="E9" s="21" t="s">
        <v>8</v>
      </c>
      <c r="F9" s="21" t="n">
        <v>1</v>
      </c>
      <c r="G9" s="19" t="n">
        <v>1</v>
      </c>
      <c r="H9" s="21" t="str">
        <f aca="false">IF(G9="","Not started",IF(G9&gt;=F9,"Done","Partial"))</f>
        <v>Done</v>
      </c>
      <c r="I9" s="19" t="s">
        <v>35</v>
      </c>
      <c r="J9" s="21" t="s">
        <v>50</v>
      </c>
      <c r="K9" s="20" t="s">
        <v>51</v>
      </c>
      <c r="L9" s="22" t="n">
        <f aca="false">MIN(N(G9),F9)</f>
        <v>1</v>
      </c>
    </row>
    <row r="10" customFormat="false" ht="15" hidden="false" customHeight="false" outlineLevel="0" collapsed="false">
      <c r="A10" s="21" t="s">
        <v>13</v>
      </c>
      <c r="B10" s="21" t="s">
        <v>15</v>
      </c>
      <c r="C10" s="21" t="s">
        <v>38</v>
      </c>
      <c r="D10" s="21" t="s">
        <v>52</v>
      </c>
      <c r="E10" s="21" t="s">
        <v>10</v>
      </c>
      <c r="F10" s="21" t="n">
        <f aca="false">Overview!$C$4</f>
        <v>3</v>
      </c>
      <c r="G10" s="19" t="n">
        <v>3</v>
      </c>
      <c r="H10" s="21" t="str">
        <f aca="false">IF(G10="","Not started",IF(G10&gt;=F10,"Done","Partial"))</f>
        <v>Done</v>
      </c>
      <c r="I10" s="19" t="s">
        <v>35</v>
      </c>
      <c r="J10" s="21" t="s">
        <v>53</v>
      </c>
      <c r="K10" s="20"/>
      <c r="L10" s="22" t="n">
        <f aca="false">MIN(N(G10),F10)</f>
        <v>3</v>
      </c>
    </row>
    <row r="11" customFormat="false" ht="15" hidden="false" customHeight="false" outlineLevel="0" collapsed="false">
      <c r="A11" s="21" t="s">
        <v>13</v>
      </c>
      <c r="B11" s="21" t="s">
        <v>15</v>
      </c>
      <c r="C11" s="21" t="s">
        <v>38</v>
      </c>
      <c r="D11" s="21" t="s">
        <v>52</v>
      </c>
      <c r="E11" s="21" t="s">
        <v>11</v>
      </c>
      <c r="F11" s="21" t="n">
        <f aca="false">Overview!$C$4</f>
        <v>3</v>
      </c>
      <c r="G11" s="19" t="n">
        <v>3</v>
      </c>
      <c r="H11" s="21" t="str">
        <f aca="false">IF(G11="","Not started",IF(G11&gt;=F11,"Done","Partial"))</f>
        <v>Done</v>
      </c>
      <c r="I11" s="19" t="s">
        <v>35</v>
      </c>
      <c r="J11" s="21" t="s">
        <v>54</v>
      </c>
      <c r="K11" s="20"/>
      <c r="L11" s="22" t="n">
        <f aca="false">MIN(N(G11),F11)</f>
        <v>3</v>
      </c>
    </row>
    <row r="12" customFormat="false" ht="15" hidden="false" customHeight="false" outlineLevel="0" collapsed="false">
      <c r="A12" s="21" t="s">
        <v>13</v>
      </c>
      <c r="B12" s="21" t="s">
        <v>15</v>
      </c>
      <c r="C12" s="21" t="s">
        <v>38</v>
      </c>
      <c r="D12" s="21" t="s">
        <v>52</v>
      </c>
      <c r="E12" s="21" t="s">
        <v>12</v>
      </c>
      <c r="F12" s="21" t="n">
        <f aca="false">Overview!$C$4</f>
        <v>3</v>
      </c>
      <c r="G12" s="19" t="n">
        <v>3</v>
      </c>
      <c r="H12" s="21" t="str">
        <f aca="false">IF(G12="","Not started",IF(G12&gt;=F12,"Done","Partial"))</f>
        <v>Done</v>
      </c>
      <c r="I12" s="19" t="s">
        <v>35</v>
      </c>
      <c r="J12" s="21" t="s">
        <v>55</v>
      </c>
      <c r="K12" s="20"/>
      <c r="L12" s="22" t="n">
        <f aca="false">MIN(N(G12),F12)</f>
        <v>3</v>
      </c>
    </row>
    <row r="13" customFormat="false" ht="15" hidden="false" customHeight="false" outlineLevel="0" collapsed="false">
      <c r="A13" s="21" t="s">
        <v>13</v>
      </c>
      <c r="B13" s="21" t="s">
        <v>15</v>
      </c>
      <c r="C13" s="21" t="s">
        <v>43</v>
      </c>
      <c r="D13" s="21" t="s">
        <v>56</v>
      </c>
      <c r="E13" s="21" t="s">
        <v>10</v>
      </c>
      <c r="F13" s="21" t="n">
        <f aca="false">Overview!$C$4</f>
        <v>3</v>
      </c>
      <c r="G13" s="19" t="n">
        <v>3</v>
      </c>
      <c r="H13" s="21" t="str">
        <f aca="false">IF(G13="","Not started",IF(G13&gt;=F13,"Done","Partial"))</f>
        <v>Done</v>
      </c>
      <c r="I13" s="19" t="s">
        <v>35</v>
      </c>
      <c r="J13" s="21" t="s">
        <v>57</v>
      </c>
      <c r="K13" s="20"/>
      <c r="L13" s="22" t="n">
        <f aca="false">MIN(N(G13),F13)</f>
        <v>3</v>
      </c>
    </row>
    <row r="14" customFormat="false" ht="15" hidden="false" customHeight="false" outlineLevel="0" collapsed="false">
      <c r="A14" s="21" t="s">
        <v>13</v>
      </c>
      <c r="B14" s="21" t="s">
        <v>15</v>
      </c>
      <c r="C14" s="21" t="s">
        <v>43</v>
      </c>
      <c r="D14" s="21" t="s">
        <v>56</v>
      </c>
      <c r="E14" s="21" t="s">
        <v>11</v>
      </c>
      <c r="F14" s="21" t="n">
        <f aca="false">Overview!$C$4</f>
        <v>3</v>
      </c>
      <c r="G14" s="19" t="n">
        <v>3</v>
      </c>
      <c r="H14" s="21" t="str">
        <f aca="false">IF(G14="","Not started",IF(G14&gt;=F14,"Done","Partial"))</f>
        <v>Done</v>
      </c>
      <c r="I14" s="19" t="s">
        <v>35</v>
      </c>
      <c r="J14" s="21" t="s">
        <v>58</v>
      </c>
      <c r="K14" s="20"/>
      <c r="L14" s="22" t="n">
        <f aca="false">MIN(N(G14),F14)</f>
        <v>3</v>
      </c>
    </row>
    <row r="15" customFormat="false" ht="15" hidden="false" customHeight="false" outlineLevel="0" collapsed="false">
      <c r="A15" s="21" t="s">
        <v>13</v>
      </c>
      <c r="B15" s="21" t="s">
        <v>15</v>
      </c>
      <c r="C15" s="21" t="s">
        <v>43</v>
      </c>
      <c r="D15" s="21" t="s">
        <v>56</v>
      </c>
      <c r="E15" s="21" t="s">
        <v>12</v>
      </c>
      <c r="F15" s="21" t="n">
        <f aca="false">Overview!$C$4</f>
        <v>3</v>
      </c>
      <c r="G15" s="19" t="n">
        <v>3</v>
      </c>
      <c r="H15" s="21" t="str">
        <f aca="false">IF(G15="","Not started",IF(G15&gt;=F15,"Done","Partial"))</f>
        <v>Done</v>
      </c>
      <c r="I15" s="19" t="s">
        <v>35</v>
      </c>
      <c r="J15" s="21" t="s">
        <v>59</v>
      </c>
      <c r="K15" s="20"/>
      <c r="L15" s="22" t="n">
        <f aca="false">MIN(N(G15),F15)</f>
        <v>3</v>
      </c>
    </row>
    <row r="16" customFormat="false" ht="15" hidden="false" customHeight="false" outlineLevel="0" collapsed="false">
      <c r="A16" s="15" t="s">
        <v>16</v>
      </c>
      <c r="B16" s="15" t="s">
        <v>14</v>
      </c>
      <c r="C16" s="15" t="s">
        <v>33</v>
      </c>
      <c r="D16" s="15" t="s">
        <v>60</v>
      </c>
      <c r="E16" s="15" t="s">
        <v>8</v>
      </c>
      <c r="F16" s="15" t="n">
        <v>1</v>
      </c>
      <c r="G16" s="19" t="n">
        <v>1</v>
      </c>
      <c r="H16" s="15" t="str">
        <f aca="false">IF(G16="","Not started",IF(G16&gt;=F16,"Done","Partial"))</f>
        <v>Done</v>
      </c>
      <c r="I16" s="19" t="s">
        <v>35</v>
      </c>
      <c r="J16" s="15" t="s">
        <v>61</v>
      </c>
      <c r="K16" s="20" t="s">
        <v>62</v>
      </c>
      <c r="L16" s="5" t="n">
        <f aca="false">MIN(N(G16),F16)</f>
        <v>1</v>
      </c>
    </row>
    <row r="17" customFormat="false" ht="15" hidden="false" customHeight="false" outlineLevel="0" collapsed="false">
      <c r="A17" s="15" t="s">
        <v>16</v>
      </c>
      <c r="B17" s="15" t="s">
        <v>14</v>
      </c>
      <c r="C17" s="15" t="s">
        <v>38</v>
      </c>
      <c r="D17" s="15" t="s">
        <v>63</v>
      </c>
      <c r="E17" s="15" t="s">
        <v>10</v>
      </c>
      <c r="F17" s="15" t="n">
        <f aca="false">Overview!$C$4</f>
        <v>3</v>
      </c>
      <c r="G17" s="19" t="n">
        <v>3</v>
      </c>
      <c r="H17" s="15" t="str">
        <f aca="false">IF(G17="","Not started",IF(G17&gt;=F17,"Done","Partial"))</f>
        <v>Done</v>
      </c>
      <c r="I17" s="19" t="s">
        <v>35</v>
      </c>
      <c r="J17" s="15" t="s">
        <v>64</v>
      </c>
      <c r="K17" s="20"/>
      <c r="L17" s="5" t="n">
        <f aca="false">MIN(N(G17),F17)</f>
        <v>3</v>
      </c>
    </row>
    <row r="18" customFormat="false" ht="15" hidden="false" customHeight="false" outlineLevel="0" collapsed="false">
      <c r="A18" s="15" t="s">
        <v>16</v>
      </c>
      <c r="B18" s="15" t="s">
        <v>14</v>
      </c>
      <c r="C18" s="15" t="s">
        <v>38</v>
      </c>
      <c r="D18" s="15" t="s">
        <v>63</v>
      </c>
      <c r="E18" s="15" t="s">
        <v>11</v>
      </c>
      <c r="F18" s="15" t="n">
        <f aca="false">Overview!$C$4</f>
        <v>3</v>
      </c>
      <c r="G18" s="19" t="n">
        <v>3</v>
      </c>
      <c r="H18" s="15" t="str">
        <f aca="false">IF(G18="","Not started",IF(G18&gt;=F18,"Done","Partial"))</f>
        <v>Done</v>
      </c>
      <c r="I18" s="19" t="s">
        <v>35</v>
      </c>
      <c r="J18" s="15" t="s">
        <v>65</v>
      </c>
      <c r="K18" s="20"/>
      <c r="L18" s="5" t="n">
        <f aca="false">MIN(N(G18),F18)</f>
        <v>3</v>
      </c>
    </row>
    <row r="19" customFormat="false" ht="15" hidden="false" customHeight="false" outlineLevel="0" collapsed="false">
      <c r="A19" s="15" t="s">
        <v>16</v>
      </c>
      <c r="B19" s="15" t="s">
        <v>14</v>
      </c>
      <c r="C19" s="15" t="s">
        <v>38</v>
      </c>
      <c r="D19" s="15" t="s">
        <v>63</v>
      </c>
      <c r="E19" s="15" t="s">
        <v>12</v>
      </c>
      <c r="F19" s="15" t="n">
        <f aca="false">Overview!$C$4</f>
        <v>3</v>
      </c>
      <c r="G19" s="19" t="n">
        <v>3</v>
      </c>
      <c r="H19" s="15" t="str">
        <f aca="false">IF(G19="","Not started",IF(G19&gt;=F19,"Done","Partial"))</f>
        <v>Done</v>
      </c>
      <c r="I19" s="19" t="s">
        <v>35</v>
      </c>
      <c r="J19" s="15" t="s">
        <v>66</v>
      </c>
      <c r="K19" s="20"/>
      <c r="L19" s="5" t="n">
        <f aca="false">MIN(N(G19),F19)</f>
        <v>3</v>
      </c>
    </row>
    <row r="20" customFormat="false" ht="15" hidden="false" customHeight="false" outlineLevel="0" collapsed="false">
      <c r="A20" s="15" t="s">
        <v>16</v>
      </c>
      <c r="B20" s="15" t="s">
        <v>14</v>
      </c>
      <c r="C20" s="15" t="s">
        <v>43</v>
      </c>
      <c r="D20" s="15" t="s">
        <v>67</v>
      </c>
      <c r="E20" s="15" t="s">
        <v>10</v>
      </c>
      <c r="F20" s="15" t="n">
        <f aca="false">Overview!$C$4</f>
        <v>3</v>
      </c>
      <c r="G20" s="19" t="n">
        <v>3</v>
      </c>
      <c r="H20" s="15" t="str">
        <f aca="false">IF(G20="","Not started",IF(G20&gt;=F20,"Done","Partial"))</f>
        <v>Done</v>
      </c>
      <c r="I20" s="19" t="s">
        <v>35</v>
      </c>
      <c r="J20" s="15" t="s">
        <v>68</v>
      </c>
      <c r="K20" s="20"/>
      <c r="L20" s="5" t="n">
        <f aca="false">MIN(N(G20),F20)</f>
        <v>3</v>
      </c>
    </row>
    <row r="21" customFormat="false" ht="15" hidden="false" customHeight="false" outlineLevel="0" collapsed="false">
      <c r="A21" s="15" t="s">
        <v>16</v>
      </c>
      <c r="B21" s="15" t="s">
        <v>14</v>
      </c>
      <c r="C21" s="15" t="s">
        <v>43</v>
      </c>
      <c r="D21" s="15" t="s">
        <v>67</v>
      </c>
      <c r="E21" s="15" t="s">
        <v>11</v>
      </c>
      <c r="F21" s="15" t="n">
        <f aca="false">Overview!$C$4</f>
        <v>3</v>
      </c>
      <c r="G21" s="19" t="n">
        <v>3</v>
      </c>
      <c r="H21" s="15" t="str">
        <f aca="false">IF(G21="","Not started",IF(G21&gt;=F21,"Done","Partial"))</f>
        <v>Done</v>
      </c>
      <c r="I21" s="19" t="s">
        <v>35</v>
      </c>
      <c r="J21" s="15" t="s">
        <v>69</v>
      </c>
      <c r="K21" s="20"/>
      <c r="L21" s="5" t="n">
        <f aca="false">MIN(N(G21),F21)</f>
        <v>3</v>
      </c>
    </row>
    <row r="22" customFormat="false" ht="15" hidden="false" customHeight="false" outlineLevel="0" collapsed="false">
      <c r="A22" s="15" t="s">
        <v>16</v>
      </c>
      <c r="B22" s="15" t="s">
        <v>14</v>
      </c>
      <c r="C22" s="15" t="s">
        <v>43</v>
      </c>
      <c r="D22" s="15" t="s">
        <v>67</v>
      </c>
      <c r="E22" s="15" t="s">
        <v>12</v>
      </c>
      <c r="F22" s="15" t="n">
        <f aca="false">Overview!$C$4</f>
        <v>3</v>
      </c>
      <c r="G22" s="19" t="n">
        <v>3</v>
      </c>
      <c r="H22" s="15" t="str">
        <f aca="false">IF(G22="","Not started",IF(G22&gt;=F22,"Done","Partial"))</f>
        <v>Done</v>
      </c>
      <c r="I22" s="19" t="s">
        <v>35</v>
      </c>
      <c r="J22" s="15" t="s">
        <v>70</v>
      </c>
      <c r="K22" s="20"/>
      <c r="L22" s="5" t="n">
        <f aca="false">MIN(N(G22),F22)</f>
        <v>3</v>
      </c>
    </row>
    <row r="23" customFormat="false" ht="35.05" hidden="false" customHeight="false" outlineLevel="0" collapsed="false">
      <c r="A23" s="21" t="s">
        <v>16</v>
      </c>
      <c r="B23" s="21" t="s">
        <v>15</v>
      </c>
      <c r="C23" s="21" t="s">
        <v>33</v>
      </c>
      <c r="D23" s="21" t="s">
        <v>71</v>
      </c>
      <c r="E23" s="21" t="s">
        <v>8</v>
      </c>
      <c r="F23" s="21" t="n">
        <v>1</v>
      </c>
      <c r="G23" s="19" t="n">
        <v>1</v>
      </c>
      <c r="H23" s="21" t="str">
        <f aca="false">IF(G23="","Not started",IF(G23&gt;=F23,"Done","Partial"))</f>
        <v>Done</v>
      </c>
      <c r="I23" s="19" t="s">
        <v>35</v>
      </c>
      <c r="J23" s="21" t="s">
        <v>72</v>
      </c>
      <c r="K23" s="20" t="s">
        <v>73</v>
      </c>
      <c r="L23" s="22" t="n">
        <f aca="false">MIN(N(G23),F23)</f>
        <v>1</v>
      </c>
    </row>
    <row r="24" customFormat="false" ht="15" hidden="false" customHeight="false" outlineLevel="0" collapsed="false">
      <c r="A24" s="21" t="s">
        <v>16</v>
      </c>
      <c r="B24" s="21" t="s">
        <v>15</v>
      </c>
      <c r="C24" s="21" t="s">
        <v>38</v>
      </c>
      <c r="D24" s="21" t="s">
        <v>74</v>
      </c>
      <c r="E24" s="21" t="s">
        <v>10</v>
      </c>
      <c r="F24" s="21" t="n">
        <f aca="false">Overview!$C$4</f>
        <v>3</v>
      </c>
      <c r="G24" s="19" t="n">
        <v>3</v>
      </c>
      <c r="H24" s="21" t="str">
        <f aca="false">IF(G24="","Not started",IF(G24&gt;=F24,"Done","Partial"))</f>
        <v>Done</v>
      </c>
      <c r="I24" s="19" t="s">
        <v>35</v>
      </c>
      <c r="J24" s="21" t="s">
        <v>75</v>
      </c>
      <c r="K24" s="20" t="s">
        <v>76</v>
      </c>
      <c r="L24" s="22" t="n">
        <f aca="false">MIN(N(G24),F24)</f>
        <v>3</v>
      </c>
    </row>
    <row r="25" customFormat="false" ht="15" hidden="false" customHeight="false" outlineLevel="0" collapsed="false">
      <c r="A25" s="21" t="s">
        <v>16</v>
      </c>
      <c r="B25" s="21" t="s">
        <v>15</v>
      </c>
      <c r="C25" s="21" t="s">
        <v>38</v>
      </c>
      <c r="D25" s="21" t="s">
        <v>74</v>
      </c>
      <c r="E25" s="21" t="s">
        <v>11</v>
      </c>
      <c r="F25" s="21" t="n">
        <f aca="false">Overview!$C$4</f>
        <v>3</v>
      </c>
      <c r="G25" s="19" t="n">
        <v>3</v>
      </c>
      <c r="H25" s="21" t="str">
        <f aca="false">IF(G25="","Not started",IF(G25&gt;=F25,"Done","Partial"))</f>
        <v>Done</v>
      </c>
      <c r="I25" s="19" t="s">
        <v>35</v>
      </c>
      <c r="J25" s="21" t="s">
        <v>77</v>
      </c>
      <c r="K25" s="20"/>
      <c r="L25" s="22" t="n">
        <f aca="false">MIN(N(G25),F25)</f>
        <v>3</v>
      </c>
    </row>
    <row r="26" customFormat="false" ht="15" hidden="false" customHeight="false" outlineLevel="0" collapsed="false">
      <c r="A26" s="21" t="s">
        <v>16</v>
      </c>
      <c r="B26" s="21" t="s">
        <v>15</v>
      </c>
      <c r="C26" s="21" t="s">
        <v>38</v>
      </c>
      <c r="D26" s="21" t="s">
        <v>74</v>
      </c>
      <c r="E26" s="21" t="s">
        <v>12</v>
      </c>
      <c r="F26" s="21" t="n">
        <f aca="false">Overview!$C$4</f>
        <v>3</v>
      </c>
      <c r="G26" s="19" t="n">
        <v>3</v>
      </c>
      <c r="H26" s="21" t="str">
        <f aca="false">IF(G26="","Not started",IF(G26&gt;=F26,"Done","Partial"))</f>
        <v>Done</v>
      </c>
      <c r="I26" s="19" t="s">
        <v>35</v>
      </c>
      <c r="J26" s="21" t="s">
        <v>78</v>
      </c>
      <c r="K26" s="20"/>
      <c r="L26" s="22" t="n">
        <f aca="false">MIN(N(G26),F26)</f>
        <v>3</v>
      </c>
    </row>
    <row r="27" customFormat="false" ht="15" hidden="false" customHeight="false" outlineLevel="0" collapsed="false">
      <c r="A27" s="21" t="s">
        <v>16</v>
      </c>
      <c r="B27" s="21" t="s">
        <v>15</v>
      </c>
      <c r="C27" s="21" t="s">
        <v>43</v>
      </c>
      <c r="D27" s="21" t="s">
        <v>79</v>
      </c>
      <c r="E27" s="21" t="s">
        <v>10</v>
      </c>
      <c r="F27" s="21" t="n">
        <f aca="false">Overview!$C$4</f>
        <v>3</v>
      </c>
      <c r="G27" s="19" t="n">
        <v>3</v>
      </c>
      <c r="H27" s="21" t="str">
        <f aca="false">IF(G27="","Not started",IF(G27&gt;=F27,"Done","Partial"))</f>
        <v>Done</v>
      </c>
      <c r="I27" s="19" t="s">
        <v>35</v>
      </c>
      <c r="J27" s="21" t="s">
        <v>80</v>
      </c>
      <c r="K27" s="20"/>
      <c r="L27" s="22" t="n">
        <f aca="false">MIN(N(G27),F27)</f>
        <v>3</v>
      </c>
    </row>
    <row r="28" customFormat="false" ht="15" hidden="false" customHeight="false" outlineLevel="0" collapsed="false">
      <c r="A28" s="21" t="s">
        <v>16</v>
      </c>
      <c r="B28" s="21" t="s">
        <v>15</v>
      </c>
      <c r="C28" s="21" t="s">
        <v>43</v>
      </c>
      <c r="D28" s="21" t="s">
        <v>79</v>
      </c>
      <c r="E28" s="21" t="s">
        <v>11</v>
      </c>
      <c r="F28" s="21" t="n">
        <f aca="false">Overview!$C$4</f>
        <v>3</v>
      </c>
      <c r="G28" s="19" t="n">
        <v>3</v>
      </c>
      <c r="H28" s="21" t="str">
        <f aca="false">IF(G28="","Not started",IF(G28&gt;=F28,"Done","Partial"))</f>
        <v>Done</v>
      </c>
      <c r="I28" s="19" t="s">
        <v>35</v>
      </c>
      <c r="J28" s="21" t="s">
        <v>81</v>
      </c>
      <c r="K28" s="20"/>
      <c r="L28" s="22" t="n">
        <f aca="false">MIN(N(G28),F28)</f>
        <v>3</v>
      </c>
    </row>
    <row r="29" customFormat="false" ht="15" hidden="false" customHeight="false" outlineLevel="0" collapsed="false">
      <c r="A29" s="21" t="s">
        <v>16</v>
      </c>
      <c r="B29" s="21" t="s">
        <v>15</v>
      </c>
      <c r="C29" s="21" t="s">
        <v>43</v>
      </c>
      <c r="D29" s="21" t="s">
        <v>79</v>
      </c>
      <c r="E29" s="21" t="s">
        <v>12</v>
      </c>
      <c r="F29" s="21" t="n">
        <f aca="false">Overview!$C$4</f>
        <v>3</v>
      </c>
      <c r="G29" s="19" t="n">
        <v>3</v>
      </c>
      <c r="H29" s="21" t="str">
        <f aca="false">IF(G29="","Not started",IF(G29&gt;=F29,"Done","Partial"))</f>
        <v>Done</v>
      </c>
      <c r="I29" s="19" t="s">
        <v>35</v>
      </c>
      <c r="J29" s="21" t="s">
        <v>82</v>
      </c>
      <c r="K29" s="20"/>
      <c r="L29" s="22" t="n">
        <f aca="false">MIN(N(G29),F29)</f>
        <v>3</v>
      </c>
    </row>
  </sheetData>
  <autoFilter ref="A1:L29"/>
  <conditionalFormatting sqref="H2:H29">
    <cfRule type="expression" priority="2" aboveAverage="0" equalAverage="0" bottom="0" percent="0" rank="0" text="" dxfId="0">
      <formula>$H2="Done"</formula>
    </cfRule>
    <cfRule type="expression" priority="3" aboveAverage="0" equalAverage="0" bottom="0" percent="0" rank="0" text="" dxfId="1">
      <formula>$H2="Partial"</formula>
    </cfRule>
  </conditionalFormatting>
  <dataValidations count="1">
    <dataValidation allowBlank="false" error="Enter the number of good trials (0 or more)." errorStyle="stop" operator="greaterThanOrEqual" showDropDown="false" showErrorMessage="true" showInputMessage="false" sqref="G2:G29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15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9" min="8" style="0" width="12"/>
    <col collapsed="false" customWidth="true" hidden="false" outlineLevel="0" max="10" min="10" style="0" width="36"/>
    <col collapsed="false" customWidth="true" hidden="false" outlineLevel="0" max="11" min="11" style="0" width="48"/>
  </cols>
  <sheetData>
    <row r="1" customFormat="false" ht="17.35" hidden="false" customHeight="false" outlineLevel="0" collapsed="false">
      <c r="A1" s="23" t="s">
        <v>83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customFormat="false" ht="15" hidden="false" customHeight="false" outlineLevel="0" collapsed="false">
      <c r="A2" s="15"/>
    </row>
    <row r="3" customFormat="false" ht="15" hidden="false" customHeight="false" outlineLevel="0" collapsed="false">
      <c r="A3" s="3" t="s">
        <v>84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15" hidden="false" customHeight="false" outlineLevel="0" collapsed="false">
      <c r="A4" s="24" t="s">
        <v>85</v>
      </c>
      <c r="B4" s="24"/>
      <c r="C4" s="24"/>
      <c r="D4" s="24"/>
      <c r="E4" s="24"/>
      <c r="F4" s="24"/>
      <c r="G4" s="24"/>
      <c r="H4" s="24"/>
      <c r="I4" s="24"/>
      <c r="J4" s="24"/>
      <c r="K4" s="24"/>
    </row>
    <row r="5" customFormat="false" ht="15" hidden="false" customHeight="false" outlineLevel="0" collapsed="false">
      <c r="A5" s="24" t="s">
        <v>86</v>
      </c>
      <c r="B5" s="24"/>
      <c r="C5" s="24"/>
      <c r="D5" s="24"/>
      <c r="E5" s="24"/>
      <c r="F5" s="24"/>
      <c r="G5" s="24"/>
      <c r="H5" s="24"/>
      <c r="I5" s="24"/>
      <c r="J5" s="24"/>
      <c r="K5" s="24"/>
    </row>
    <row r="6" customFormat="false" ht="15" hidden="false" customHeight="false" outlineLevel="0" collapsed="false">
      <c r="A6" s="24" t="s">
        <v>87</v>
      </c>
      <c r="B6" s="24"/>
      <c r="C6" s="24"/>
      <c r="D6" s="24"/>
      <c r="E6" s="24"/>
      <c r="F6" s="24"/>
      <c r="G6" s="24"/>
      <c r="H6" s="24"/>
      <c r="I6" s="24"/>
      <c r="J6" s="24"/>
      <c r="K6" s="24"/>
    </row>
    <row r="7" customFormat="false" ht="15" hidden="false" customHeight="false" outlineLevel="0" collapsed="false">
      <c r="A7" s="15"/>
    </row>
    <row r="8" customFormat="false" ht="15" hidden="false" customHeight="false" outlineLevel="0" collapsed="false">
      <c r="A8" s="24" t="s">
        <v>88</v>
      </c>
      <c r="B8" s="24"/>
      <c r="C8" s="24"/>
      <c r="D8" s="24"/>
      <c r="E8" s="24"/>
      <c r="F8" s="24"/>
      <c r="G8" s="24"/>
      <c r="H8" s="24"/>
      <c r="I8" s="24"/>
      <c r="J8" s="24"/>
      <c r="K8" s="24"/>
    </row>
    <row r="9" customFormat="false" ht="15" hidden="false" customHeight="false" outlineLevel="0" collapsed="false">
      <c r="A9" s="24" t="s">
        <v>89</v>
      </c>
      <c r="B9" s="24"/>
      <c r="C9" s="24"/>
      <c r="D9" s="24"/>
      <c r="E9" s="24"/>
      <c r="F9" s="24"/>
      <c r="G9" s="24"/>
      <c r="H9" s="24"/>
      <c r="I9" s="24"/>
      <c r="J9" s="24"/>
      <c r="K9" s="24"/>
    </row>
    <row r="10" customFormat="false" ht="15" hidden="false" customHeight="false" outlineLevel="0" collapsed="false">
      <c r="A10" s="24" t="s">
        <v>90</v>
      </c>
      <c r="B10" s="24"/>
      <c r="C10" s="24"/>
      <c r="D10" s="24"/>
      <c r="E10" s="24"/>
      <c r="F10" s="24"/>
      <c r="G10" s="24"/>
      <c r="H10" s="24"/>
      <c r="I10" s="24"/>
      <c r="J10" s="24"/>
      <c r="K10" s="24"/>
    </row>
    <row r="11" customFormat="false" ht="15" hidden="false" customHeight="false" outlineLevel="0" collapsed="false">
      <c r="A11" s="24" t="s">
        <v>91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</row>
    <row r="12" customFormat="false" ht="15" hidden="false" customHeight="false" outlineLevel="0" collapsed="false">
      <c r="A12" s="15"/>
    </row>
    <row r="13" customFormat="false" ht="15" hidden="false" customHeight="false" outlineLevel="0" collapsed="false">
      <c r="A13" s="3" t="s">
        <v>92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customFormat="false" ht="15" hidden="false" customHeight="false" outlineLevel="0" collapsed="false">
      <c r="A14" s="7" t="s">
        <v>4</v>
      </c>
      <c r="B14" s="7" t="s">
        <v>5</v>
      </c>
      <c r="C14" s="7" t="s">
        <v>23</v>
      </c>
      <c r="D14" s="7" t="s">
        <v>24</v>
      </c>
      <c r="E14" s="7" t="s">
        <v>25</v>
      </c>
      <c r="F14" s="7" t="s">
        <v>26</v>
      </c>
      <c r="G14" s="7" t="s">
        <v>27</v>
      </c>
      <c r="H14" s="7" t="s">
        <v>28</v>
      </c>
      <c r="I14" s="7" t="s">
        <v>29</v>
      </c>
      <c r="J14" s="7" t="s">
        <v>30</v>
      </c>
      <c r="K14" s="7" t="s">
        <v>31</v>
      </c>
    </row>
    <row r="15" customFormat="false" ht="15" hidden="false" customHeight="false" outlineLevel="0" collapsed="false">
      <c r="A15" s="15" t="s">
        <v>93</v>
      </c>
      <c r="B15" s="15" t="s">
        <v>14</v>
      </c>
      <c r="C15" s="15" t="s">
        <v>43</v>
      </c>
      <c r="D15" s="15" t="s">
        <v>94</v>
      </c>
      <c r="E15" s="15" t="s">
        <v>11</v>
      </c>
      <c r="F15" s="15" t="n">
        <v>3</v>
      </c>
      <c r="G15" s="15" t="n">
        <v>2</v>
      </c>
      <c r="H15" s="15" t="s">
        <v>95</v>
      </c>
      <c r="I15" s="15" t="s">
        <v>96</v>
      </c>
      <c r="J15" s="15" t="s">
        <v>97</v>
      </c>
      <c r="K15" s="15" t="s">
        <v>98</v>
      </c>
    </row>
  </sheetData>
  <mergeCells count="10">
    <mergeCell ref="A1:K1"/>
    <mergeCell ref="A3:K3"/>
    <mergeCell ref="A4:K4"/>
    <mergeCell ref="A5:K5"/>
    <mergeCell ref="A6:K6"/>
    <mergeCell ref="A8:K8"/>
    <mergeCell ref="A9:K9"/>
    <mergeCell ref="A10:K10"/>
    <mergeCell ref="A11:K11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2026-10-22T02:12:57Z</dcterms:created>
  <dc:creator>Lucas Lombana Arias</dc:creator>
  <dc:description/>
  <dc:language>en-US</dc:language>
  <cp:lastModifiedBy>Lucas Lombana Arias</cp:lastModifiedBy>
  <dcterms:modified xsi:type="dcterms:W3CDTF">2026-10-22T02:12:57Z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